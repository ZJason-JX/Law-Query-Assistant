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4750" windowHeight="1208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<sst xmlns="http://schemas.openxmlformats.org/spreadsheetml/2006/main" count="150" uniqueCount="117">
  <si>
    <t>评测集Query</t>
  </si>
  <si>
    <t>场景</t>
  </si>
  <si>
    <t>备注</t>
  </si>
  <si>
    <t>回答：DP</t>
  </si>
  <si>
    <t>准确性</t>
  </si>
  <si>
    <t>相关性</t>
  </si>
  <si>
    <t>完整性</t>
  </si>
  <si>
    <t>简洁性</t>
  </si>
  <si>
    <t>安全性</t>
  </si>
  <si>
    <t>加权平均</t>
  </si>
  <si>
    <t>回答：doubao-lite</t>
  </si>
  <si>
    <t>回答：doubao-pro</t>
  </si>
  <si>
    <t>一、显性事实：占比60%</t>
  </si>
  <si>
    <t>营业场所对顾客的安全保障义务的法定标准是什么？</t>
  </si>
  <si>
    <t>构成要件与归责</t>
  </si>
  <si>
    <t>召回第1198条，解释“合理限度范围”的界定。</t>
  </si>
  <si>
    <t>一、【法律依据】
根据《中华人民共和国民法典》第一千一百九十八条，营业场所对顾客的安全保障义务的法定标准直接源于该条规定：“宾馆、商场、银行、车站、机场、体育场馆、娱乐场所等经营场所、公共场所的经营者、管理者或者群众性活动的组织者，未尽到安全保障义务，造成他人损害的，应当承担侵权责任。因第三人的行为造成他人损害的，由第三人承担侵权责任；经营者、管理者或者组织者未尽到安全保障义务的，承担相应的补充责任。经营者、管理者或者组织者承担补充责任后，可以向第三人追偿。”
二、【法理释明】
本条明确了安全保障义务的法定标准，需从以下方面结构化释明：
义务主体：仅限于法律明文列举的经营场所（如宾馆、商场、银行、车站、机场、体育场馆、娱乐场所）的经营者、管理者或群众性活动的组织者。其他场所或主体不直接适用本条规定。
义务内容：安全保障义务的核心是采取合理措施预防损害发生，包括但不限于：
提供安全设施（如消防设备、监控系统）。
及时消除潜在危险（如清理湿滑地面、修复损坏设备）。
警示提示（如设置安全标志、说明风险）。
人员管理（如培训员工应对突发事件）。
义务标准为 “尽到”，即需达到一般理性人在类似情况下应达到的注意程度，具体需结合行业标准、惯例及实际情况判断。
责任构成：
直接责任：经营者等未尽义务直接导致顾客损害时，承担侵权责任（需满足侵权行为、损害结果、因果关系及过错要件）。
补充责任：因第三人行为造成损害时，经营者等仅在未尽义务范围内承担补充责任（即先由第三人赔偿，不足部分由经营者等补充赔偿），且追偿权指向第三人。
适用界限：本义务为法定义务，非约定义务；损害需与未尽义务有因果关系，否则不成立责任。
三、【实务指引】
举证责任：在诉讼中，受害人需初步证明损害发生及经营者等未尽安全保障义务；经营者等可举证已尽合理义务以抗辩。
时效注意：侵权责任诉讼时效为三年，自权利人知道或应当知道权利受损及义务人之日起计算。</t>
  </si>
  <si>
    <t>【法律依据】
《中华人民共和国民法典》第一千一百九十八条：宾馆、商场、银行、车站、机场、体育场馆、娱乐场所等经营场所、公共场所的经营者、管理者或者群众性活动的组织者，未尽到安全保障义务，造成他人损害的，应当承担侵权责任。
【法理释明】
安全保障义务的概念：安全保障义务是指在特定的法律关系中，一方对另一方的人身安全和财产安全所负有的合理的注意和保护义务。在营业场所中，经营者对顾客的人身和财产安全负有保障义务。
法定标准：
设施设备的安全性：营业场所的设施设备应当符合安全标准，不存在安全隐患。例如，商场的楼梯、扶手、电梯等应当定期维护和检查，确保其安全性。
人员的管理和服务：营业场所的工作人员应当对顾客进行必要的管理和服务，例如引导顾客、维持秩序、提供必要的帮助等。
安全防范措施：营业场所应当采取必要的安全防范措施，例如安装监控设备、设置安全警示标志、配备保安人员等，以防止顾客受到意外伤害。
紧急情况的应对：营业场所应当制定应急预案，对可能发生的紧急情况进行预演和准备，例如火灾、地震、暴力事件等，以确保在紧急情况下能够及时有效地应对，保障顾客的生命和财产安全。
【实务指引】
举证责任：顾客在主张营业场所未尽到安全保障义务时，需要承担举证责任。例如，顾客需要提供证据证明自己在营业场所受到了伤害，以及营业场所存在安全隐患或者未尽到安全保障义务的事实。
诉讼时效：顾客在受到伤害后，应当及时向营业场所主张权利。根据《中华人民共和国民法典》第一百八十八条的规定，向人民法院请求保护民事权利的诉讼时效期间为三年。因此，顾客应当在知道或者应当知道自己的权利受到侵害之日起三年内提起诉讼。</t>
  </si>
  <si>
    <t>一、【法律依据】
《中华人民共和国民法典》第一千一百九十八条：宾馆、商场、银行、车站、机场、体育场馆、娱乐场所等经营场所、公共场所的经营者、管理者或者群众性活动的组织者，未尽到安全保障义务，造成他人损害的，应当承担侵权责任。因第三人的行为造成他人损害的，由第三人承担侵权责任；经营者、管理者或者组织者未尽到安全保障义务的，承担相应的补充责任。经营者、管理者或者组织者承担补充责任后，可以向第三人追偿。
二、【法理释明】
构成要件：
存在特定主体，即宾馆、商场、银行、车站、机场、体育场馆、娱乐场所等经营场所、公共场所的经营者、管理者或者群众性活动的组织者。
该主体未尽到安全保障义务。
因未尽安全保障义务造成了他人损害。
概念界定：安全保障义务是指经营场所、公共场所的经营者、管理者或群众性活动的组织者，应在合理限度范围内，采取必要措施保护他人人身和财产安全的义务。其合理限度需综合考虑场所性质、规模、可能发生的危险等因素判断。
规则冲突：当损害是由第三人行为造成时，第三人承担侵权责任，经营者、管理者或组织者承担补充责任，补充责任的承担以其未尽安全保障义务为前提，且承担后可向第三人追偿。
三、【实务指引】
顾客需对损害事实及经营者、管理者或组织者未尽安全保障义务承担举证责任。
若存在第三人侵权，应及时留存第三人相关信息，便于后续责任追究。</t>
  </si>
  <si>
    <t>建设工程未经竣工验收，发包人擅自使用的，承包人保修责任如何认定？</t>
  </si>
  <si>
    <t>召回第806条及建工司法解释，解释“擅自使用”对质量争议的效力阻却。</t>
  </si>
  <si>
    <t>根据《中华人民共和国民法典》第七百九十九条：“建设工程竣工后，发包人应当及时进行验收。发包人拖延验收的，承包人可以催告发包人在合理期限内进行验收。发包人逾期不验收的，视为竣工验收合格。建设工程未经竣工验收，发包人擅自使用的，视为竣工验收合格，但是承包人应当在建设工程的合理使用寿命内对地基基础工程和主体结构质量承担民事责任。”
二、【法理释明】
本条明确了发包人擅自使用未经竣工验收工程时，承包人保修责任的认定规则，需从以下方面结构化释明：
视为竣工验收合格：发包人擅自使用行为导致法律推定工程已通过验收，承包人因此免除部分保修责任，但此推定仅适用于一般质量缺陷，不涵盖所有保修义务。
保修责任范围：
豁免部分：对于擅自使用后出现的非结构性或非地基基础的质量问题（如装饰装修、设备安装缺陷），承包人不再承担保修责任，因视为合格已覆盖这些方面。
保留部分：承包人仍需在建设工程的合理使用寿命内对地基基础工程和主体结构质量承担民事责任。这意味着即使擅自使用，承包人对这些关键部分的保修义务不变，需保证其符合安全标准和设计规范。
责任基础：此规则旨在平衡发包人与承包人利益，防止发包人通过擅自使用逃避验收义务，同时确保工程核心安全。保修责任的认定需基于损害与擅自使用之间的因果关系，如果质量问题在擅自使用前已存在，承包人可能仍须负责。
适用界限：“擅自使用” 指发包人未经验收即投入使用的行为，需有证据证明；保修责任期限以 “合理使用寿命” 为界，通常参考行业标准或合同约定，但不得短于法定最低保修期。
三、【实务指引】
举证责任：在争议中，承包人可举证发包人擅自使用的事实（如使用记录、现场证据）以主张部分责任豁免；发包人若主张地基或主体结构问题，需证明缺陷存在及与承包人责任相关。
时效注意：保修责任纠纷的诉讼时效为三年，自权利人知道或应当知道权利受损及义务人之日起计算，但地基基础等部分可能涉及更长时效，需结合具体案情。</t>
  </si>
  <si>
    <t>法律依据】
《中华人民共和国民法典》第八百零一条：因施工人的原因致使建设工程质量不符合约定的，发包人有权请求施工人在合理期限内无偿修理或者返工、改建。经过修理或者返工、改建后，造成逾期交付的，施工人应当承担违约责任。
【法理释明】
建设工程未经竣工验收擅自使用的概念：建设工程未经竣工验收，发包人擅自使用的，是指发包人在建设工程未按照法律规定和合同约定进行竣工验收合格的情况下，就实际占有、使用该建设工程的行为。
承包人保修责任的认定：根据《中华人民共和国民法典》第八百零一条的规定，因施工人的原因致使建设工程质量不符合约定的，发包人有权请求施工人在合理期限内无偿修理或者返工、改建。经过修理或者返工、改建后，造成逾期交付的，施工人应当承担违约责任。因此，如果建设工程未经竣工验收，发包人擅自使用，承包人仍然应当对建设工程的质量承担保修责任。但是，如果发包人在擅自使用建设工程后，发现建设工程存在质量问题，并且该质量问题是由于施工人的原因造成的，发包人可以要求施工人在合理期限内无偿修理或者返工、改建。如果施工人拒绝修理或者返工、改建，发包人可以自行或者委托他人进行修理，所发生的费用由施工人承担。
【实务指引】
证据收集：承包人在主张保修责任时，需要收集相关证据，例如建设工程的施工合同、竣工验收报告、质量检测报告等，以证明建设工程的质量问题是由于施工人的原因造成的。
协商解决：承包人可以与发包人协商解决保修责任问题。如果双方能够达成一致意见，承包人可以按照协商结果进行修理或者返工、改建。
诉讼解决：如果承包人与发包人无法协商解决保修责任问题，承包人可以向人民法院提起诉讼，要求发包人承担保修责任。在诉讼过程中，承包人需要提供充分的证据，以证明自己的主张。</t>
  </si>
  <si>
    <t>拒绝回答</t>
  </si>
  <si>
    <t>相邻关系中，关于截水、排水的法定原则是什么？</t>
  </si>
  <si>
    <t>法条精准检索</t>
  </si>
  <si>
    <t>召回第290条，解释“自然流水”的容忍义务。</t>
  </si>
  <si>
    <t>一、【法律依据】
根据《中华人民共和国民法典》第二百九十条：“不动产权利人应当为相邻权利人用水、排水提供必要的便利。对自然流水的利用，应当在不动产的相邻权利人之间合理分配。对自然流水的排放，应当尊重自然流向。” 此外，第二百八十八条确立了处理相邻关系的一般原则：“不动产的相邻权利人应当按照有利生产、方便生活、团结互助、公平合理的原则，正确处理相邻关系。”
二、【法理释明】
本条明确了截水、排水在相邻关系中的法定原则，需从以下方面结构化释明：
一般原则：所有相邻关系处理需遵循有利生产、方便生活、团结互助、公平合理的原则（第二百八十八条），这为截水、排水提供了基础框架，强调平衡各方利益，促进和谐共存。
具体规则：
提供必要便利：不动产权利人有义务为相邻权利人的用水和排水提供必要的便利，即需容忍合理使用并避免不当阻碍，但此义务以不损害自身合法权益为限。
合理分配利用：对自然流水（如河流、雨水）的利用，应在相邻权利人之间合理分配，确保公平性，防止任何一方垄断或过度使用，需考虑历史习惯、实际需求等因素。
尊重自然流向：对自然流水的排放，必须尊重自然流向，不得擅自改变水流方向、堵塞或改道，以避免对下游或相邻不动产造成侵害（如洪水、侵蚀）。
适用优先顺位：根据第二百八十九条，法律、法规有规定的依其规定（如第二百九十条）；无规定时，可参照当地习惯，但不得违反公序良俗。
概念界定：
截水：指拦截水流的行为（如筑坝、引水），需在合理范围内进行，不得损害相邻方合法权益，否则可能构成侵权。
排水：指排放积水的行为（如疏通管道、排放雨水），必须遵循自然规律，避免人为造成污染或损害。
冲突解决：若截水、排水行为引发争议，应优先适用公平合理原则，通过协商或司法途径解决，确保不危及相邻安全或环境。
三、【实务指引】
（本部分无需输出，因查询聚焦法定原则，无特定程序性或举证提示；如有争议，建议参考一般侵权诉讼规则。）</t>
  </si>
  <si>
    <t>【法律依据】
《中华人民共和国民法典》第二百九十条：不动产权利人应当为相邻权利人用水、排水提供必要的便利。对自然流水的利用，应当在不动产的相邻权利人之间合理分配。对自然流水的排放，应当尊重自然流向。
【法理释明】
截水的法定原则：
提供必要便利原则：不动产权利人有义务为相邻权利人截水提供必要的便利。例如，在相邻土地上设置截水设施时，应当尽量避免对相邻土地造成损害。
合理利用原则：对自然流水的截水应当在不动产的相邻权利人之间合理分配，不得损害相邻权利人的合法权益。例如，在相邻土地上设置截水设施时，应当考虑相邻土地的用水需求和水资源的合理利用。
排水的法定原则：
提供必要便利原则：不动产权利人有义务为相邻权利人排水提供必要的便利。例如，在相邻土地上设置排水设施时，应当尽量避免对相邻土地造成损害。
尊重自然流向原则：对自然流水的排放应当尊重自然流向，不得改变自然流水的流向和流量。例如，在相邻土地上设置排水设施时，应当考虑自然流水的自然流向和流量，不得随意改变。
【实务指引】
协商解决：相邻关系中关于截水、排水的问题，应当由相邻权利人协商解决。协商不成的，可以请求有关部门进行调解，或者向人民法院提起诉讼。
注意保护相邻权利人的合法权益：在截水、排水过程中，应当注意保护相邻权利人的合法权益，不得损害相邻权利人的合法权益。例如，在设置截水、排水设施时，应当尽量避免对相邻土地造成损害，不得改变自然流水的流向和流量。</t>
  </si>
  <si>
    <t>一、【法律依据】
《中华人民共和国民法典》第二百九十条：不动产权利人应当为相邻权利人用水、排水提供必要的便利。对自然流水的利用，应当在不动产的相邻权利人之间合理分配。对自然流水的排放，应当尊重自然流向。
二、【法理释明】
构成要件：
（1）存在相邻的不动产权利人这一主体关系。
（2）涉及用水、排水相关事宜。
概念界定：“必要的便利” 指在满足相邻权利人基本用水、排水需求的合理范围内，提供协助或容忍。“合理分配” 要求在相邻权利人之间公平地分配自然流水的使用权益。“尊重自然流向” 意味着在排放自然流水时应遵循水流原本的走向，不得随意改变。
规则逻辑：在相邻关系的截水、排水问题上，强调相邻不动产权利人之间应互相协作，以合理、公平的方式处理用水和排水问题，维护相邻各方的合法权益。
三、【实务指引】
若因截水、排水发生纠纷，主张未获必要便利或分配不合理的一方需承担举证责任。
处理纠纷时，可优先参考当地习惯，若习惯与法律规定冲突，以法律规定为准。</t>
  </si>
  <si>
    <t>格式条款与非格式条款不一致时，法律规定优先适用哪一种？</t>
  </si>
  <si>
    <t>规则冲突与适用</t>
  </si>
  <si>
    <t>召回第498条，解释非格式条款优先的法理逻辑。</t>
  </si>
  <si>
    <t>一、【法律依据】
根据《中华人民共和国民法典》第四百九十八条：“对格式条款的理解发生争议的，应当按照通常理解予以解释。对格式条款有两种以上解释的，应当作出不利于提供格式条款一方的解释。格式条款和非格式条款不一致的，应当采用非格式条款。”
二、【法理释明】
本条明确了格式条款与非格式条款冲突时的优先适用规则，需从以下方面结构化释明：
优先适用非格式条款：当合同中出现格式条款（由一方预先拟定且未协商的条款）与非格式条款（双方协商订立的条款）不一致时，法律强制规定采用非格式条款。这是因为非格式条款更直接反映当事人的真实意思表示，体现了合同自由和公平原则。
解释规则背景：此规则旨在平衡合同双方利益，防止格式条款提供方利用优势地位损害对方权益。格式条款通常具有标准化、单方拟定的特点，而非格式条款则通过协商形成，更具个性化和合意性。
适用逻辑：
不一致的认定：需通过合同解释确定条款间存在实质冲突（如权利义务矛盾），而非轻微歧义。
解释顺位：优先采用非格式条款后，剩余部分仍适用格式条款的解释规则（如争议时作不利于提供方的解释）。
概念界定：
格式条款：指当事人为了重复使用而预先拟定，并在订立合同时未与对方协商的条款（参见民法典第四百九十六条）。
非格式条款：指合同双方通过个别协商确定的条款，通常针对特定交易情形。
规则冲突处理：本规则为强制性规定，优先于一般合同解释原则；若格式条款本身无效（如符合第四百九十七条情形），则直接适用无效规则，不涉及不一致比较。
三、【实务指引】
（本部分无需输出，因查询聚焦法律适用解释，无特定程序性或举证提示；实践中，建议在合同审查时明确条款一致性以避免争议。）</t>
  </si>
  <si>
    <t>【法律依据】
《中华人民共和国民法典》第四百九十八条：对格式条款的理解发生争议的，应当按照通常理解予以解释。对格式条款有两种以上解释的，应当作出不利于提供格式条款一方的解释。格式条款和非格式条款不一致的，应当采用非格式条款。
【法理释明】
格式条款的概念：格式条款是指当事人为了重复使用而预先拟定，并在订立合同时未与对方协商的条款。格式条款具有预先拟定性、重复使用性和未与对方协商性等特点。
非格式条款的概念：非格式条款是指当事人在订立合同时未采用格式条款，而是通过协商达成的条款。非格式条款具有协商性、灵活性和针对性等特点。
优先适用非格式条款的原因：格式条款是由一方预先拟定的，对方只能接受或者拒绝，没有协商的余地。因此，格式条款可能存在不公平、不合理的情况。而非格式条款是由双方协商达成的，更能体现双方的真实意思表示，更能保障双方的合法权益。因此，当格式条款与非格式条款不一致时，应当优先适用非格式条款。
【实务指引】
注意审查格式条款：在订立合同时，应当注意审查格式条款，确保格式条款的内容符合法律规定和公平原则。如果发现格式条款存在不公平、不合理的情况，应当及时提出修改意见。
尽量采用非格式条款：在订立合同时，应当尽量采用非格式条款，通过协商达成一致意见，确保合同的内容符合双方的真实意思表示，保障双方的合法权益。
注意解释格式条款：如果对格式条款的理解发生争议，应当按照通常理解予以解释。对格式条款有两种以上解释的，应当作出不利于提供格式条款一方的解释。</t>
  </si>
  <si>
    <t>一、【法律依据】
《中华人民共和国民法典》第四百九十八条：格式条款和非格式条款不一致的，应当采用非格式条款。
二、【法理释明】
格式条款是由一方预先拟定且未与对方协商的条款，在一定程度上限制了对方的意思表达；非格式条款是双方协商达成的内容，更能体现双方的真实意愿。当两者不一致时，优先适用非格式条款，这是为了遵循合同订立过程中意思自治和公平的原则，确保双方的真实意思得以实现，避免因格式条款的预先拟定而损害另一方的合法权益。
三、【实务指引】
当事人需举证证明非格式条款的存在及内容。
若对条款性质存在争议，需结合合同订立过程等因素判断是否为非格式条款。</t>
  </si>
  <si>
    <t>债权人行使代位权的法定构成要件有哪些？</t>
  </si>
  <si>
    <t>召回第535条，拆解“怠于行使”、“到期债权”等要件。</t>
  </si>
  <si>
    <t>一、【法律依据】
根据《中华人民共和国民法典》第五百三十五条：“因债务人怠于行使其债权或者与该债权有关的从权利，影响债权人的到期债权实现的，债权人可以向人民法院请求以自己的名义代位行使债务人对相对人的权利，但是该权利专属于债务人自身的除外。” 第五百三十六条：“债权人的债权到期前，债务人的债权或者与该债权有关的从权利存在诉讼时效期间即将届满或者未及时申报破产债权等情形，影响债权人的债权实现的，债权人可以代位向债务人的相对人请求其向债务人履行、向破产管理人申报或者作出其他必要的行为。”
二、【法理释明】
债权人行使代位权的法定构成要件需从以下方面结构化拆解，基于上述法条：
债权人对债务人享有合法债权：债权人必须对债务人拥有真实、合法的债权。此债权通常应为到期债权（第五百三十五条），但在特殊情形下（如诉讼时效即将届满或破产申报未及时），债权未到期也可行使代位权（第五百三十六条）。
债务人怠于行使其对相对人的债权或从权利：债务人未以诉讼、仲裁或其他必要方式积极行使自身对第三人的债权或从权利（如担保权）。“怠于行使” 指债务人无正当理由不主张权利，导致权利可能丧失或减损。
债务人的怠于行使行为影响债权人的债权实现：债务人的不作为必须导致债权人到期债权难以实现，例如债务人无其他可供清偿的财产，或债权面临时效届满、破产风险等。影响需具因果关系，而非轻微或假设性。
债务人的债权非专属于债务人自身：代位行使的权利不得是专属于债务人自身的权利，如基于抚养关系、赡养关系、人身伤害赔偿等产生的债权（第五百三十五条但书条款）。这些权利因具人身属性，不可代位。
此外，代位权行使需通过人民法院请求（第五百三十五条），且范围以债权人的到期债权为限（第五百三十七条）。概念界定上，“怠于行使” 需结合具体行为判断；“专属于债务人自身” 参考司法解释及实践，排除与人身密切相关的权利。
三、【实务指引】
举证责任：债权人行使代位权时，需承担举证责任，证明上述构成要件成立，如提供债权凭证、债务人怠于行使的证据（如催告记录）、以及影响债权实现的证明。
程序性注意：代位权必须通过诉讼方式向人民法院主张；同时关注诉讼时效，代位权诉讼的时效期间为三年，自债权人知道或应当知道权利受损及义务人之日起计算。</t>
  </si>
  <si>
    <t>【法律依据】
《中华人民共和国民法典》第五百三十五条：因债务人怠于行使其债权或者与该债权有关的从权利，影响债权人的到期债权实现的，债权人可以向人民法院请求以自己的名义代位行使债务人对相对人的权利，但是该权利专属于债务人自身的除外。
《中华人民共和国民法典》第五百三十六条：债权人的债权到期前，债务人的债权或者与该债权有关的从权利存在诉讼时效期间即将届满或者未及时申报破产债权等情形，影响债权人的债权实现的，债权人可以代位向债务人的相对人请求其向债务人履行、向破产管理人申报或者作出其他必要的行为。
【法理释明】
债权人对债务人的债权合法且到期：这是债权人行使代位权的前提条件。债权人对债务人的债权必须是合法有效的债权，并且已经到期。
债务人怠于行使其债权或者与该债权有关的从权利：债务人怠于行使其债权或者与该债权有关的从权利，是指债务人应当行使且能够行使权利却不行使。例如，债务人不向其债务人主张到期债权，或者不参加破产程序申报债权等。
债务人怠于行使权利的行为已经影响债权人的到期债权实现：这是债权人行使代位权的实质要件。债务人怠于行使权利的行为必须已经对债权人的到期债权实现造成了影响。例如，债务人的债务人破产，债务人不申报债权，导致债权人的债权无法得到清偿。
债务人的债权不是专属于债务人自身的债权：专属于债务人自身的债权，是指基于扶养关系、抚养关系、赡养关系、继承关系产生的给付请求权和劳动报酬、退休金、养老金、抚恤金、安置费、人寿保险、人身伤害赔偿请求权等权利。
【实务指引】
注意审查债权的合法性和到期性：在行使代位权之前，债权人应当注意审查自己对债务人的债权是否合法有效，并且是否已经到期。
注意审查债务人的行为是否怠于行使权利：在行使代位权之前，债权人应当注意审查债务人是否存在怠于行使权利的行为。例如，债务人是否不向其债务人主张到期债权，或者不参加破产程序申报债权等。
注意审查债务人的债权是否专属于债务人自身：在行使代位权之前，债权人应当注意审查债务人的债权是否专属于债务人自身。例如，债务人的债权是否是基于扶养关系、抚养关系、赡养关系、继承关系产生的给付请求权和劳动报酬、退休金、养老金、抚恤金、安置费、人寿保险、人身伤害赔偿请求权等权利。
及时行使代位权：债权人应当在法定的诉讼时效期间内行使代位权，否则将丧失胜诉权。</t>
  </si>
  <si>
    <t>一、【法律依据】
《中华人民共和国民法典》第五百三十五条：因债务人怠于行使其债权或者与该债权有关的从权利，影响债权人的到期债权实现的，债权人可以向人民法院请求以自己的名义代位行使债务人对相对人的权利，但是该权利专属于债务人自身的除外。代位权的行使范围以债权人的到期债权为限。债权人行使代位权的必要费用，由债务人负担。
《中华人民共和国民法典》第五百三十六条：债权人的债权到期前，债务人的债权或者与该债权有关的从权利存在诉讼时效期间即将届满或者未及时申报破产债权等情形，影响债权人的债权实现的，债权人可以代位向债务人的相对人请求其向债务人履行、向破产管理人申报或者作出其他必要的行为。
二、【法理释明】
债权人行使代位权的法定构成要件如下：
（1）债权人对债务人的债权到期。这是行使代位权的基本前提，只有当债权人的债权到期，才具备行使代位权的可能性。
（2）债务人怠于行使其债权或者与该债权有关的从权利。“怠于行使” 指债务人应当行使且能够行使却不行使权利。
（3）债务人怠于行使权利的行为影响债权人的到期债权实现。即债务人的不作为导致债权人的债权无法得到清偿。
（4）债务人的债权不是专属于债务人自身的权利。专属于债务人自身的权利，如基于扶养关系、抚养关系、赡养关系、继承关系产生的给付请求权和劳动报酬、退休金、养老金、抚恤金、安置费、人寿保险、人身伤害赔偿请求权等权利，不能成为代位权的客体。
（5）在特殊情况下，债权人的债权到期前，若债务人的债权或者与该债权有关的从权利存在诉讼时效期间即将届满或者未及时申报破产债权等情形，影响债权人的债权实现的，债权人也可行使代位权。
三、【实务指引】
债权人需举证证明债务人怠于行使权利以及该行为影响其债权实现。
代位权诉讼需向有管辖权的人民法院提起。</t>
  </si>
  <si>
    <t>遗嘱执行人未指定且无继承人时，民法典规定由谁担任遗产管理人？</t>
  </si>
  <si>
    <t>召回第1145条，明确民政部门或村委会的法定兜底职责。</t>
  </si>
  <si>
    <t>一、【法律依据】
根据《中华人民共和国民法典》第一千一百四十五条：“继承开始后，遗嘱执行人为遗产管理人；没有遗嘱执行人的，继承人应当及时推选遗产管理人；继承人未推选的，由继承人共同担任遗产管理人；没有继承人或者继承人均放弃继承的，由被继承人生前住所地的民政部门或者村民委员会担任遗产管理人。”
二、【法理释明】
本条明确了在遗嘱执行人未指定且无继承人情形下遗产管理人的指定规则，需从以下方面结构化释明：
适用条件：遗产管理人的指定遵循递进式规则。当遗嘱执行人未指定（即不存在遗嘱执行人）且无继承人（包括没有法定继承人、遗嘱继承人或继承人均放弃继承）时，直接触发由民政部门或村民委员会担任的例外条款。
指定主体：由被继承人生前住所地的民政部门或者村民委员会担任遗产管理人。此规定旨在保障遗产的妥善管理，防止遗产流失或债权债务纠纷，体现公权力介入以维护公共利益和社会秩序。
概念界定：
无继承人：指被继承人无法定继承人、遗嘱继承人，或所有继承人均明确放弃继承权的情形。
民政部门或村民委员会：根据被继承人生前住所地确定具体机构；城市地区通常为民政部门，农村地区为村民委员会，其职责包括清理遗产、处理债务等（参见第一千一百四十七条）。
规则冲突与顺位：本条款为遗产管理人指定的最终顺位。优先顺位为：遗嘱执行人 → 继承人推选 → 继承人共同担任 → 民政部门或村民委员会（当无继承人时）。此顺位不可跳跃，确保程序公平。
法律效果：一旦指定，遗产管理人需依法履行职责（如清理遗产、处理债权债务），因故意或重大过失造成损害的，需承担民事责任（第一千一百四十八条）。</t>
  </si>
  <si>
    <t>【法律依据】
《中华人民共和国民法典》第一千一百四十五条：继承开始后，遗嘱执行人为遗产管理人；没有遗嘱执行人的，继承人应当及时推选遗产管理人；继承人未推选的，由继承人共同担任遗产管理人；没有继承人或者继承人均放弃继承的，由被继承人生前住所地的民政部门或者村民委员会担任遗产管理人。
【法理释明】
遗嘱执行人：遗嘱执行人是指有权按照遗嘱人的意志执行遗嘱的人。遗嘱执行人可以是遗嘱人指定的人，也可以是遗嘱人未指定时由继承人推选的人。
继承人：继承人是指依法继承被继承人遗产的人。继承人可以是遗嘱继承人，也可以是法定继承人。
被继承人生前住所地的民政部门或者村民委员会：被继承人生前住所地的民政部门或者村民委员会是指被继承人生前居住的地方的民政部门或者村民委员会。
【实务指引】
及时推选遗产管理人：如果没有遗嘱执行人，继承人应当及时推选遗产管理人。继承人可以协商推选遗产管理人，也可以通过诉讼等方式推选遗产管理人。
注意遗产管理人的职责：遗产管理人应当按照法律规定履行职责，包括清理遗产、制作遗产清单、向继承人报告遗产情况、采取必要措施防止遗产毁损、灭失、处理被继承人的债权债务、按照遗嘱或者依照法律规定分割遗产、实施与管理遗产有关的其他必要行为等。
注意遗产管理人的责任：遗产管理人应当依法履行职责，因故意或者重大过失造成继承人、受遗赠人、债权人损害的，应当承担民事责任。</t>
  </si>
  <si>
    <t>一、【法律依据】
《中华人民共和国民法典》第一千一百四十五条：继承开始后，遗嘱执行人为遗产管理人；没有遗嘱执行人的，继承人应当及时推选遗产管理人；继承人未推选的，由继承人共同担任遗产管理人；没有继承人或者继承人均放弃继承的，由被继承人生前住所地的民政部门或者村民委员会担任遗产管理人。
二、【法理释明】
在继承开始后，遗产管理人的确定遵循一定的顺序。首先，若有遗嘱执行人，遗嘱执行人即为遗产管理人。当遗嘱执行人未指定且存在继承人时，继承人应推选遗产管理人；若继承人未推选，则由继承人共同担任。而当没有继承人或者继承人均放弃继承时，为了保障遗产能够得到妥善处理，法律规定由被继承人生前住所地的民政部门或者村民委员会担任遗产管理人。这一规定旨在确保遗产的清理、保管、分割等工作能够有序进行，维护相关利益人的合法权益。
三、【实务指引】
相关利害关系人可向被继承人生前住所地的民政部门或者村民委员会了解遗产管理情况。
若对民政部门或者村民委员会担任遗产管理人有争议，利害关系人可向人民法院申请指定遗产管理人。</t>
  </si>
  <si>
    <t>合伙人执行合伙事务的报酬请求权是否有法定依据？</t>
  </si>
  <si>
    <t>召回第971条，解释“原则上无报酬，另有约定除外”。</t>
  </si>
  <si>
    <t>一、【法律依据】
根据《中华人民共和国民法典》第九百七十一条：“合伙人不得因执行合伙事务而请求支付报酬，但是合伙合同另有约定的除外。”
二、【法理释明】
本条明确了合伙人执行合伙事务时报酬请求权的法定规则，需从以下方面结构化释明：
一般禁止原则：合伙人执行合伙事务原则上不得请求支付报酬。这是因为合伙关系基于共同事业目的和共享利益、共担风险的性质（参见第九百六十七条），执行事务被视为合伙人的基本义务，而非额外服务。
例外允许：合伙合同另有约定的除外。即如果合伙合同明确约定执行事务的合伙人可以获取报酬，则依约定享有报酬请求权。这体现了合同自由原则，允许当事人通过合意调整权利义务。
概念界定：
执行合伙事务：指合伙人根据合伙合同或全体合伙人决定，处理合伙日常事务的行为（如管理财务、对外代表合伙等，参考第九百七十条）。
合伙合同另有约定：需书面或口头合同中有明确、合法的报酬条款，否则推定无报酬请求权。
规则逻辑：此规定旨在维护合伙的互助性和公平性，防止因报酬争议破坏合伙关系。若无约定，执行事务视为履行出资或合作义务的一部分；有约定时，报酬请求权从约定，但需符合合同有效性要求（如不违反公序良俗）。
与其他条款关系：本规则优先于一般合同原则；若合伙合同未约定，合伙人不得以执行事务为由主张报酬，即使事务执行产生了额外劳动或成本。
三、【实务指引】
（本部分无需输出，因查询聚焦法定依据而非程序操作；实践中，建议在订立合伙合同时明确报酬条款以避免争议。）</t>
  </si>
  <si>
    <t>【法律依据】
《中华人民共和国民法典》第九百七十一条：合伙人不得因执行合伙事务而请求支付报酬，但是合伙合同另有约定的除外。
【法理释明】
概念界定：合伙人执行合伙事务的报酬请求权，是指合伙人在执行合伙事务过程中，有权要求其他合伙人支付一定报酬的权利。
规则冲突：在合伙合同中，如果没有约定合伙人执行合伙事务的报酬，那么合伙人不得因执行合伙事务而请求支付报酬。但是，如果合伙合同中约定了合伙人执行合伙事务的报酬，那么合伙人可以按照约定请求支付报酬。
【实务指引】
注意合伙合同的约定：在合伙合同中，应当明确约定合伙人执行合伙事务的报酬。如果合伙合同中没有约定合伙人执行合伙事务的报酬，那么合伙人不得因执行合伙事务而请求支付报酬。
注意证据的保存：如果合伙人执行合伙事务的报酬请求权得到了其他合伙人的认可，那么应当保存好相关证据，以便在需要时维护自己的权益。</t>
  </si>
  <si>
    <t>一、【法律依据】
《中华人民共和国民法典》第九百七十一条：合伙人不得因执行合伙事务而请求支付报酬，但是合伙合同另有约定的除外。
二、【法理释明】
一般情况下，合伙人执行合伙事务是基于合伙合同中共享利益、共担风险的约定，法律默认合伙人执行合伙事务是其应尽的义务，所以不得请求支付报酬。但如果合伙合同中对执行合伙事务的报酬有明确约定，那么合伙人可以依据该约定请求支付报酬。这体现了意思自治原则，尊重合伙人之间的约定。
三、【实务指引】
若合伙人主张执行合伙事务的报酬，需举证证明合伙合同中有相关约定。
合伙合同应明确约定报酬的支付标准、方式和时间等内容，以避免纠纷。</t>
  </si>
  <si>
    <t>承揽人在完成工作过程中造成第三人损害的，定作人是否承担侵权责任？</t>
  </si>
  <si>
    <t>召回第1193条，解释定作人“定作、指示或选任有过错”的例外担责情形。</t>
  </si>
  <si>
    <t>一、【法律依据】
根据《中华人民共和国民法典》第一千一百九十三条：“承揽人在完成工作过程中造成第三人损害或者自己损害的，定作人不承担侵权责任。但是，定作人对定作、指示或者选任有过错的，应当承担相应的责任。”
二、【法理释明】
本条明确了定作人对承揽人造成第三人损害的侵权责任规则，需从以下方面结构化释明：
一般免责原则：定作人原则上不承担侵权责任。这是因为承揽关系具有独立性，承揽人作为独立合同主体，应自行负责其行为造成的损害（参见第七百七十二条），定作人仅对工作成果负责，而非承揽人的执行过程。
例外承担责任：定作人仅在存在过错时承担相应的责任。过错包括：
（1）定作过错：指定作人要求承揽人完成的工作本身具有违法性、危险性或不合理性（如指令承揽人从事非法活动）。
（2）指示过错：指定作人在承揽人执行工作过程中给出了错误、模糊或不安全的指示，直接导致损害发生。
（3）选任过错：指定作人选择承揽人时未尽合理注意义务，如选任无资质、无能力或不适合的承揽人，且该选任与损害有因果关系。
概念界定：
完成工作过程中：指承揽人从开始执行承揽合同到交付工作成果的期间，包括准备、实施和收尾阶段，但需与承揽人个人行为或与工作无关的行为区分。
相应的责任：指根据定作人的过错程度（如过错比例）承担部分赔偿责任，而非全额责任；法院会基于过错与损害的因果关系酌定。
规则逻辑：此规定平衡了定作人的控制权与承揽人的独立性。若无过错，定作人不因承揽人的行为受牵连；有过错时，则体现过错责任原则，防止定作人滥用优势地位。
与其他条款关系：本规则优先于一般侵权责任规则（如第一千一百六十五条过错责任原则）；若定作人无过错，受害人只能向承揽人主张侵权责任（依据第一千一百六十八条等）。
三、【实务指引】
举证责任：在诉讼中，受害人主张定作人承担责任时，需承担举证责任，证明定作人存在定作、指示或选任过错（如提供合同、通讯记录或资质证明）。
程序性注意：定作人可依据本条款抗辩；同时，注意诉讼时效为三年，自知道权利受损及义务人之日起计算。</t>
  </si>
  <si>
    <t>【法律依据】
《中华人民共和国民法典》第一千一百九十三条：承揽人在完成工作过程中造成第三人损害或者自己损害的，定作人不承担侵权责任。但是，定作人对定作、指示或者选任有过错的，应当承担相应的责任。
【法理释明】
构成要件：
承揽人造成第三人损害：这是承揽人承担侵权责任的前提条件。承揽人在完成工作过程中，因故意或者过失造成第三人损害的，应当承担侵权责任。
定作人对定作、指示或者选任无过错：这是定作人不承担侵权责任的前提条件。定作人对定作、指示或者选任没有过错的，不承担侵权责任。定作人对定作、指示或者选任有过错的，应当承担相应的责任。
概念界定：
定作：定作是指定作人向承揽人提出工作要求，承揽人按照定作人的要求完成工作的行为。
指示：指示是指定作人对承揽人的工作提出具体要求，承揽人按照定作人的要求完成工作的行为。
选任：选任是指定作人选择承揽人的行为。
规则冲突：在承揽人造成第三人损害的情况下，如果定作人对定作、指示或者选任有过错的，应当承担相应的责任。这是对定作人不承担侵权责任的例外规定。
【实务指引】
注意审查定作人的过错：在承揽人造成第三人损害的情况下，如果定作人对定作、指示或者选任有过错的，应当承担相应的责任。因此，在签订承揽合同时，应当注意审查定作人的过错情况，以避免承担不必要的责任。
注意证据的保存：在承揽人造成第三人损害的情况下，如果定作人对定作、指示或者选任有过错的，应当承担相应的责任。因此，在承揽人造成第三人损害的情况下，应当注意保存相关证据，以便在需要时维护自己的权益。</t>
  </si>
  <si>
    <t>一、【法律依据】
《中华人民共和国民法典》第一千一百九十三条：承揽人在完成工作过程中造成第三人损害或者自己损害的，定作人不承担侵权责任。但是，定作人对定作、指示或者选任有过错的，应当承担相应的责任。
二、【法理释明】
一般情况下，承揽人在完成工作过程中造成第三人损害的，定作人不承担侵权责任。这是因为承揽合同中，承揽人以自己的设备、技术和劳力独立完成工作，具有相对的自主性和独立性，对于工作过程中的风险通常自行承担。
然而，存在例外情况。如果定作人对定作、指示或者选任有过错，那么定作人应当承担相应的责任。具体如下：
（1）定作过错：指定作的事项本身存在不合理或违法之处，导致承揽人在完成工作时造成第三人损害。
（2）指示过错：指定作人对承揽人的工作进行了错误的指示，使承揽人按照该指示操作而造成第三人损害。
（3）选任过错：指定作人在选择承揽人时，没有尽到合理的注意义务，选择了不具备相应资质或能力的承揽人，从而导致第三人损害。
三、【实务指引】
若定作人被主张承担责任，需对自身不存在定作、指示或选任过错进行举证。
承揽人应保留工作过程中的相关证据，以证明自身操作符合要求。</t>
  </si>
  <si>
    <t>保证合同中没有约定保证期间的，法定保证期间是多长？</t>
  </si>
  <si>
    <t>召回第692条，明确“主债务履行期限届满之日起六个月”。</t>
  </si>
  <si>
    <t>一、【法律依据】
根据《中华人民共和国民法典》第六百九十二条：“债权人与保证人可以约定保证期间，但是约定的保证期间早于主债务履行期限或者与主债务履行期限同时届满的，视为没有约定；没有约定或者约定不明确的，保证期间为主债务履行期限届满之日起六个月。”
二、【法理释明】
本条明确了保证合同中未约定保证期间时的法定规则，需从以下方面结构化释明：
适用条件：此规则适用于保证合同中对保证期间没有约定（即完全未提及）或约定不明确（如约定模糊无法确定）的情形。同时，如果约定无效（如早于或与主债务履行期限同时届满），也视为没有约定。
法定期间：法定保证期间为主债务履行期限届满之日起六个月。此期间是固定不变的，不发生中止、中断或延长（参见第六百九十二条第一款）。
概念界定：
保证期间：指确定保证人承担保证责任的期间，债权人必须在此期间内行使权利，否则保证人免责（第六百九十三条）。
主债务履行期限届满之日：指主债务合同中约定的债务人应履行债务的截止日期；如果主债务履行期限没有约定或约定不明确，则依据第六百九十二条第三款，保证期间自债权人请求债务人履行债务的宽限期届满之日起计算。
规则逻辑：此规定旨在平衡债权人与保证人的利益，防止保证责任无限期延续，促进交易效率。六个月的法定期限为默认规则，鼓励当事人在合同中明确约定以避免争议。
与其他条款关系：本规则是保证期间的基本规定；若债权人未在保证期间内依法主张权利（如一般保证中提起诉讼或仲裁，连带保证中请求保证人承担责任），保证人不再承担保证责任（第六百九十三条）。</t>
  </si>
  <si>
    <t>【法律依据】
《中华人民共和国民法典》第六百九十二条第二款：没有约定或者约定不明确的，保证期间为主债务履行期限届满之日起六个月。
【法理释明】
构成要件：
保证合同中没有约定保证期间。
保证合同中约定的保证期间不明确。
概念界定：保证期间是指保证人承担保证责任的期间。保证期间的起算点是主债务履行期限届满之日。
规则冲突：保证期间不发生中止、中断和延长。
【实务指引】
注意保证期间的起算点：保证期间的起算点是主债务履行期限届满之日。
注意保证期间的届满：保证期间届满后，保证人不再承担保证责任。</t>
  </si>
  <si>
    <t>一、【法律依据】
《中华人民共和国民法典》第六百九十二条第二款：没有约定或者约定不明确的，保证期间为主债务履行期限届满之日起六个月。
二、【法理释明】
保证期间是确定保证人承担保证责任的期间，且不发生中止、中断和延长。当保证合同中没有约定保证期间时，法律规定保证期间为主债务履行期限届满之日起六个月。这样规定的目的在于平衡债权人和保证人的利益，既给予债权人一定时间来主张权利，又避免保证人长期处于可能承担保证责任的不确定状态。
三、【实务指引】
债权人应在主债务履行期限届满之日起六个月内，按照保证方式（一般保证或连带责任保证）的要求向保证人主张权利。
保证人若想免除保证责任，可关注债权人是否在法定保证期间内主张权利。</t>
  </si>
  <si>
    <t>连带债务人之一破产的，债权人申报债权的法定规则是什么？</t>
  </si>
  <si>
    <t>召回第520条及破产法相关规定，解释全额申报原则。</t>
  </si>
  <si>
    <t>拒绝输出</t>
  </si>
  <si>
    <t>【法律依据】
《中华人民共和国民法典》第五百一十九条第二款：连带债务人中的一人或者数人破产的，债权人有权就全部债权向该债务人或者各债务人行使权利，申报债权。债权人未申报债权的，其他连带债务人可以就将来可能承担的债务申报债权。但是，债权人已经向管理人申报全部债权的除外。
【法理释明】
构成要件：
连带债务人之一破产。
债权人申报债权。
概念界定：连带债务人是指对同一债务负有连带义务的债务人。连带债务人之一破产的，债权人有权就全部债权向该债务人或者各债务人行使权利，申报债权。
规则冲突：债权人未申报债权的，其他连带债务人可以就将来可能承担的债务申报债权。但是，债权人已经向管理人申报全部债权的除外。
【实务指引】
注意申报债权的时间：债权人应当在规定的时间内申报债权。
注意申报债权的方式：债权人应当按照规定的方式申报债权。</t>
  </si>
  <si>
    <t>一、【法律依据】
《中华人民共和国民法典》第五百二十条第二款：部分连带债务人破产的，债权人可以就全部债权分别在各破产案件中申报债权。
二、【法理释明】
在连带债务关系中，每个连带债务人都有义务对全部债务承担清偿责任。当部分连带债务人破产时，为了充分保障债权人的合法权益，法律赋予债权人就全部债权分别在各破产案件中申报债权的权利。这意味着债权人可以在每个破产的连带债务人的破产程序中，都以全部债权进行申报，以尽可能实现自己的债权。
三、【实务指引】
债权人应及时关注各连带债务人的破产信息，并在规定的申报期限内申报债权。
债权人申报债权时，需提供充分的证据证明债权的存在和数额。</t>
  </si>
  <si>
    <t>悬赏广告的法律性质及报酬请求权成立的法定要件是什么？</t>
  </si>
  <si>
    <t>法律概念界定</t>
  </si>
  <si>
    <t>召回第499条，解释单方允诺的效力及完成特定行为的认定。</t>
  </si>
  <si>
    <t>【法律依据】
《中华人民共和国民法典》第四百九十九条：悬赏人以公开方式声明对完成特定行为的人支付报酬的，完成该行为的人可以请求其支付。
【法理释明】
构成要件：
悬赏人以公开方式声明对完成特定行为的人支付报酬。
行为人完成了悬赏人声明的特定行为。
概念界定：悬赏广告是指悬赏人以公开方式声明对完成特定行为的人支付报酬的意思表示。
规则冲突：无。
【实务指引】
注意悬赏广告的内容：悬赏人应当在悬赏广告中明确声明对完成特定行为的人支付报酬的具体内容，包括报酬的金额、支付方式等。
注意行为人的行为：行为人应当完成悬赏人声明的特定行为，否则不享有报酬请求权。</t>
  </si>
  <si>
    <t>一、【法律依据】
《中华人民共和国民法典》第四百九十九条：悬赏人以公开方式声明对完成特定行为的人支付报酬的，完成该行为的人可以请求其支付。
二、【法理释明】
悬赏广告的法律性质属于一种特殊的要约。悬赏人以公开方式声明对完成特定行为的人支付报酬，这一行为构成了向不特定人发出的要约。当有人完成了悬赏广告中指定的特定行为时，就意味着对该要约作出了承诺，双方之间形成了合同关系。
报酬请求权成立的法定要件如下：
（1）悬赏人以公开方式作出声明，明确表示对完成特定行为的人支付报酬。公开方式可以是通过报纸、网络、广播等各种途径向不特定的人发布。
（2）行为人完成了悬赏广告中指定的特定行为。该行为必须与悬赏广告所要求的行为完全相符。
（3）行为人完成行为时知晓悬赏广告的存在。如果行为人在完成行为时并不知道悬赏广告的存在，那么其不能依据悬赏广告主张报酬请求权。
三、【实务指引】
完成特定行为的人主张报酬请求权时，需提供证据证明自己完成了悬赏广告指定的行为。
悬赏人若对报酬请求有异议，需承担相应的举证责任。</t>
  </si>
  <si>
    <t>民法典中关于“居住权”设立的法定形式及生效要件是什么？</t>
  </si>
  <si>
    <t>召回第367、368条，解释“书面合同+登记生效”的双重强制要求。</t>
  </si>
  <si>
    <t>一、【法律依据】
根据《中华人民共和国民法典》：
第三百六十七条：“设立居住权，当事人应当采用书面形式订立居住权合同。”
第三百六十八条：“设立居住权的，应当向登记机构申请居住权登记。居住权自登记时设立。”
二、【法理释明】
居住权设立的法定形式及生效要件需从以下方面结构化释明：
法定形式：
设立居住权必须采用书面形式订立合同（第三百六十七条）。此要求为强制性规定，旨在确保当事人意思表示明确、防止争议。
居住权合同一般包括条款如当事人的姓名或名称、住宅位置、居住条件、期限等（第三百六十七条第二款），但这些条款并非生效要件，仅为推荐性内容；合同缺乏部分条款不影响设立，但需通过解释或补充确定。
生效要件：
登记生效主义：居住权自向登记机构申请并完成登记时设立（第三百六十八条第二款）。登记是物权变动的公示方式，未经登记，居住权不成立，即使合同已订立。
无偿性原则与例外：居住权原则上无偿设立，但当事人另有约定的除外（第三百六十八条第一款）；此约定不影响生效要件，仅涉及对价问题。
概念界定：
居住权：是一种用益物权，赋予权利人对他人住宅的占有、使用权，以满足生活居住需要（第三百六十六条）。其核心是保障居住利益，非投资或收益。
登记机构：指不动产登记机构，负责办理居住权设立、变更和注销登记，确保物权公示公信。
规则逻辑：
书面形式与登记要求共同构成居住权设立的完整程序，体现物权法定原则和公示原则。未满足任一要件，居住权不生效。
与其他方式关系：以遗嘱方式设立居住权的，参照本章规定（第三百七十一条），但仍需通过登记生效，遗嘱仅作为设立依据。
三、【实务指引】
设立居住权时，应及时向不动产登记机构申请登记，否则物权不成立。
居住权消灭后（如期限届满或权利人死亡），应办理注销登记以避免法律风险（第三百七十条）。</t>
  </si>
  <si>
    <t>【法律依据】
《中华人民共和国民法典》第三百六十七条第一款：设立居住权，当事人应当采用书面形式订立居住权合同。
《中华人民共和国民法典》第三百六十八条：居住权无偿设立，但是当事人另有约定的除外。设立居住权的，应当向登记机构申请居住权登记。居住权自登记时设立。
【法理释明】
构成要件：
当事人应当采用书面形式订立居住权合同。
应当向登记机构申请居住权登记。
概念界定：居住权是指对他人所有的住房及其附属设施占有、使用的权利。
规则冲突：无。
【实务指引】
注意居住权合同的形式：居住权合同应当采用书面形式订立。
注意居住权登记的程序：设立居住权的，应当向登记机构申请居住权登记。居住权自登记时设立。</t>
  </si>
  <si>
    <t>一、【法律依据】
《中华人民共和国民法典》第三百六十七条：设立居住权，当事人应当采用书面形式订立居住权合同。居住权合同一般包括下列条款：（一）当事人的姓名或者名称和住所；（二）住宅的位置；（三）居住的条件和要求；（四）居住权期限；（五）解决争议的方法。
《中华人民共和国民法典》第三百六十八条：居住权无偿设立，但是当事人另有约定的除外。设立居住权的，应当向登记机构申请居住权登记。居住权自登记时设立。
《中华人民共和国民法典》第三百七十一条：以遗嘱方式设立居住权的，参照适用本章的有关规定。
二、【法理释明】
居住权设立的法定形式主要有两种：一是通过书面形式订立居住权合同；二是以遗嘱方式设立。
居住权设立的生效要件如下：
（1）采用法定形式：若通过合同设立居住权，需采用书面形式订立合同，且合同一般应包含当事人信息、住宅位置、居住条件和要求、居住权期限、解决争议的方法等条款；若以遗嘱方式设立，则需符合遗嘱的法定形式和生效要件。
（2）关于费用：居住权一般无偿设立，但若当事人有特别约定，也可有偿设立。
（3）登记生效：无论以何种方式设立居住权，都应当向登记机构申请居住权登记，居住权自登记时起正式设立。
三、【实务指引】
设立居住权时，当事人应及时向登记机构申请登记，以保障居住权的有效设立。
订立居住权合同或遗嘱时，应确保内容完整、明确，避免产生纠纷。</t>
  </si>
  <si>
    <t>二、隐性事实：占比25%</t>
  </si>
  <si>
    <t>员工在上下班途中驾驶私人车辆发生交通事故，用人单位承担雇主责任的法律依据是什么？</t>
  </si>
  <si>
    <t>召回第1191条，需解释“执行工作任务”的内涵及上下班途中的除外情形。</t>
  </si>
  <si>
    <t>【法律依据】
《中华人民共和国民法典》第一千一百九十一条：用人单位的工作人员因执行工作任务造成他人损害的，由用人单位承担侵权责任。用人单位承担侵权责任后，可以向有故意或者重大过失的工作人员追偿。
《最高人民法院关于审理人身损害赔偿案件适用法律若干问题的解释》第九条：雇员在从事雇佣活动中致人损害的，雇主应当承担赔偿责任；雇员因故意或者重大过失致人损害的，应当与雇主承担连带赔偿责任。雇主承担连带赔偿责任的，可以向雇员追偿。
【法理释明】
构成要件：
员工是用人单位的工作人员。
员工是在上下班途中驾驶私人车辆发生交通事故。
员工是因执行工作任务造成他人损害。
概念界定：雇主责任是指雇主对其雇员在执行工作任务过程中造成他人损害所承担的赔偿责任。
规则冲突：无。
【实务指引】
注意收集证据：用人单位应当收集证据证明员工是在执行工作任务过程中发生交通事故。
注意与保险公司沟通：用人单位可以与保险公司沟通，了解保险赔偿的范围和金额。</t>
  </si>
  <si>
    <t>一、【法律依据】
《中华人民共和国民法典》第一千一百九十一条第一款：用人单位的工作人员因执行工作任务造成他人损害的，由用人单位承担侵权责任。用人单位承担侵权责任后，可以向有故意或者重大过失的工作人员追偿。
二、【法理释明】
依据该法条，用人单位承担雇主责任需满足工作人员 “因执行工作任务” 造成他人损害这一条件。对于员工在上下班途中驾驶私人车辆发生交通事故的情况，判断用人单位是否承担雇主责任的关键在于该行为是否属于 “执行工作任务”。一般而言，上下班途中通常不被认为是执行工作任务，但如果该上下班行为与工作存在紧密的关联性，例如是应工作要求在特定时间、路线往返，或者是为了完成工作相关的紧急事务而在上下班途中等，可能会被认定为执行工作任务。只有在这种情况下，用人单位才需承担雇主责任。用人单位承担责任后，若工作人员存在故意或者重大过失，用人单位可向其进行追偿。
三、【实务指引】
员工需举证证明交通事故发生与执行工作任务存在关联。
用人单位若认为不应承担责任，需举证证明员工的行为不属于执行工作任务。</t>
  </si>
  <si>
    <t>建筑设计图纸存在缺陷导致工程返工，施工方能否越过发包人直接向设计方主张违约？</t>
  </si>
  <si>
    <t>召回第465条、第807条，解释“合同相对性”原则及其突破的严格限制。</t>
  </si>
  <si>
    <t>【法律依据】
《中华人民共和国民法典》第八百零一条：因施工人的原因致使建设工程质量不符合约定的，发包人有权请求施工人在合理期限内无偿修理或者返工、改建。经过修理或者返工、改建后，造成逾期交付的，施工人应当承担违约责任。
《中华人民共和国民法典》第八百零五条：因发包人变更计划，提供的资料不准确，或者未按照期限提供必需的勘察、设计工作条件而造成勘察、设计的返工、停工或者修改设计，发包人应当按照勘察人、设计人实际消耗的工作量增付费用。
【法理释明】
构成要件：
建筑设计图纸存在缺陷。
该缺陷导致工程返工。
施工方与设计方之间存在合同关系。
概念界定：设计缺陷是指设计方案不符合相关标准和规范，或者设计方案存在错误、遗漏等问题，导致工程质量不符合约定。
规则冲突：无。
【实务指引】
注意收集证据：施工方应当收集证据证明建筑设计图纸存在缺陷，以及该缺陷导致工程返工。
注意与发包人沟通：施工方可以与发包人沟通，了解发包人是否已经向设计方主张了权利。</t>
  </si>
  <si>
    <t>一、【法律依据】
《中华人民共和国民法典》第五百二十二条：当事人约定由债务人向第三人履行债务，债务人未向第三人履行债务或者履行债务不符合约定的，应当向债权人承担违约责任。法律规定或者当事人约定第三人可以直接请求债务人向其履行债务，第三人未在合理期限内明确拒绝，债务人未向第三人履行债务或者履行债务不符合约定的，第三人可以请求债务人承担违约责任；债务人对债权人的抗辩，可以向第三人主张。
二、【法理释明】
在一般情况下，合同具有相对性。施工方与发包人签订建设工程施工合同，设计方与发包人签订勘察、设计合同。施工方与设计方之间通常不存在直接的合同关系。
若要施工方越过发包人直接向设计方主张违约，需满足法律规定或者当事人约定第三人可以直接请求债务人向其履行债务这一特殊情形，并且施工方未在合理期限内明确拒绝该权利。如果满足这些条件，当设计方未履行合同义务或履行不符合约定时，施工方可以请求设计方承担违约责任，同时设计方可以对发包人享有的抗辩向施工方主张。
三、【实务指引】
施工方需举证证明存在法律规定或当事人约定其可直接向设计方主张权利的情形。
施工方需证明设计方存在违约行为以及自身因此遭受的损失。</t>
  </si>
  <si>
    <t>婚前个人全款购买的房屋，婚后用于出租产生的租金收益，在法定财产制下归属如何界定？</t>
  </si>
  <si>
    <t>召回第1062条及婚姻编司法解释，界定“投资收益”与“天然孳息”的区别。</t>
  </si>
  <si>
    <t>一、【法律依据】
根据《中华人民共和国民法典》：
第一千零六十二条：“夫妻在婚姻关系存续期间所得的下列财产，为夫妻的共同财产，归夫妻共同所有：……（二）生产、经营、投资的收益；……”
第一千零六十三条：“下列财产为夫妻一方的个人财产：（一）一方的婚前财产；……”
二、【法理释明】
婚前个人全款购买的房屋及其婚后租金收益的归属界定，需结合上述法条进行结构化分析：
房屋本体的属性：
婚前个人全款购买的房屋，属于一方的婚前财产（第一千零六十三条第一项），为夫妻一方的个人财产，不因婚姻关系而转化为共同财产。
租金收益的归属：
租金收益是房屋在婚后通过出租行为所产生的收益，属于 “投资的收益” 范畴（第一千零六十二条第二项）。
由于租金收益是在婚姻关系存续期间所得，因此依法认定为夫妻共同财产，归夫妻共同所有，与房屋本体的个人属性无关。
概念界定：
投资的收益：指通过资本或资产运作所获得的收入，包括但不限于租金、股息、利息等。租金收益作为经营性收入，其归属取决于取得时间（婚姻期间），而非资产来源。
婚姻关系存续期间：从婚姻登记之日起至婚姻解除或一方死亡时止，在此期间所得的财产原则上为共同财产，除非属于个人财产的特例（如人身损害赔偿）。
规则逻辑：
该规则体现了法定财产制下 “所得共同制” 的原则：个人财产的孳息或收益在婚后取得时，视为共同财产，以保障婚姻家庭的经济共同体利益。
与个人财产保护的关系：房屋本体作为个人财产，其所有权不变，但产生的收益共享，平衡了个人权益与家庭共同利益。
三、【实务指引】
主张租金收益为共同财产时，需举证证明收益产生于婚姻关系存续期间（如租赁合同、租金支付记录）。
若涉及财产分割，租金收益的分配需结合具体贡献（如管理维护）等因素，但核心依据为取得时间。</t>
  </si>
  <si>
    <t>【法律依据】
《中华人民共和国民法典》第一千零六十二条：夫妻在婚姻关系存续期间所得的下列财产，为夫妻的共同财产，归夫妻共同所有：
（一）工资、奖金、劳务报酬；
（二）生产、经营、投资的收益；
（三）知识产权的收益；
（四）继承或者受赠的财产，但是本法第一千零六十三条第三项规定的除外；
（五）其他应当归共同所有的财产。
夫妻对共同财产，有平等的处理权。
【法理释明】
构成要件：
房屋是婚前个人全款购买。
房屋在婚后用于出租。
产生了租金收益。
概念界定：租金收益是指因出租房屋而获得的收益，包括货币形式和实物形式的收益。
规则冲突：无。
【实务指引】
注意保留相关证据：如租赁合同、租金支付凭证等，以证明租金收益的存在。
协商解决争议：如果夫妻双方对租金收益的归属存在争议，可以通过协商解决。</t>
  </si>
  <si>
    <t>一、【法律依据】
《中华人民共和国民法典》第一千零六十二条：夫妻在婚姻关系存续期间所得的下列财产，为夫妻的共同财产，归夫妻共同所有：（一）工资、奖金、劳务报酬；（二）生产、经营、投资的收益；（三）知识产权的收益；（四）继承或者受赠的财产，但是本法第一千零六十三条第三项规定的除外；（五）其他应当归共同所有的财产。夫妻对共同财产，有平等的处理权。
第一千零六十三条：下列财产为夫妻一方的个人财产：（一）一方的婚前财产；（二）一方因受到人身损害获得的赔偿或者补偿；（三）遗嘱或者赠与合同中确定只归一方的财产；（四）一方专用的生活用品；（五）其他应当归一方的财产。
二、【法理释明】
根据法律规定，一方的婚前财产属于夫妻一方的个人财产，所以婚前个人全款购买的房屋属于夫妻一方的个人财产。对于该房屋婚后出租产生的租金收益，在法定财产制下判断其归属，关键在于认定租金收益的性质。
租金收益通常被视为经营性收益。因为将房屋出租需要进行管理、维护等一系列经营活动，这些活动往往需要夫妻双方在婚姻关系存续期间投入一定的时间和精力。根据《民法典》第一千零六十二条规定，生产、经营、投资的收益属于夫妻共同财产。所以，婚前个人全款购买的房屋婚后出租产生的租金收益一般应认定为夫妻共同财产。
三、【实务指引】
若主张租金收益为个人财产，需举证证明该租金收益的获得未涉及夫妻双方在婚姻关系存续期间的经营管理行为。
若主张租金收益为共同财产，需证明在房屋出租过程中存在夫妻共同经营管理的事实。</t>
  </si>
  <si>
    <t>未经授权收集并使用企业公开的非敏感数据进行商业变现，构成侵权的法律依据是什么？</t>
  </si>
  <si>
    <t>召回反不正当竞争法第2条及民法典数据保护条款，解释数据权益的边界。</t>
  </si>
  <si>
    <t>【法律依据】
《中华人民共和国民法典》第一千零一十九条：任何组织或者个人不得以丑化、污损，或者利用信息技术手段伪造等方式侵害他人的肖像权。未经肖像权人同意，不得制作、使用、公开肖像权人的肖像，但是法律另有规定的除外。
《中华人民共和国民法典》第一千零二十条：合理实施下列行为的，可以不经肖像权人同意：
（一）为个人学习、艺术欣赏、课堂教学或者科学研究，在必要范围内使用肖像权人已经公开的肖像；
（二）为实施新闻报道，不可避免地制作、使用、公开肖像权人的肖像；
（三）为依法履行职责，国家机关在必要范围内制作、使用、公开肖像权人的肖像；
（四）为展示特定公共环境，不可避免地制作、使用、公开肖像权人的肖像；
（五）为维护公共利益或者肖像权人合法权益，制作、使用、公开肖像权人的肖像的其他行为。
【法理释明】
构成要件：
未经授权收集并使用企业公开的非敏感数据。
进行商业变现。
概念界定：非敏感数据是指企业公开的、不涉及个人隐私、商业秘密等敏感信息的数据。
规则冲突：无。
【实务指引】
注意收集证据：如数据收集和使用的记录、商业变现的证据等，以证明侵权行为的存在。
寻求法律救济：如果企业的合法权益受到侵害，可以通过法律途径寻求救济，如向法院提起诉讼等。</t>
  </si>
  <si>
    <t>《中华人民共和国民法典》第一百二十七条：法律对数据、网络虚拟财产的保护有规定的，依照其规定。
第一百二十六条：民事主体享有法律规定的其他民事权利和利益。
二、【法理释明】
虽然《民法典》未对数据保护作出具体细致的规定，但依据第一百二十七条，若其他法律对数据保护有规定，则应依照该规定处理。同时，第一百二十六条表明民事主体享有法律规定的其他民事权利和利益，企业对其公开的非敏感数据也可能存在受法律保护的相关权益。
未经授权收集并使用企业公开的非敏感数据进行商业变现的行为，可能侵犯了企业对该数据所享有的合法权益。企业对其数据可能投入了人力、物力等成本进行整理、公开等操作，这种未经授权的商业变现行为可能损害了企业的利益，符合侵犯民事主体其他民事权利和利益的情形。
三、【实务指引】
企业需举证证明其对该数据享有合法权益，以及对方存在未经授权收集并使用数据进行商业变现的行为。
企业要证明自身因对方的行为遭受了实际损失或可能面临的损失。</t>
  </si>
  <si>
    <t>医疗机构泄露患者病历资料但未造成实际财产损失，患者主张精神损害赔偿的法律依据是什么？</t>
  </si>
  <si>
    <t>召回第1226条、第1183条，解释隐私权受侵害与“严重精神损害”的判定。</t>
  </si>
  <si>
    <t>一、【法律依据】
根据《中华人民共和国民法典》第一千二百二十六条：“医疗机构及其医务人员应当对患者的隐私和个人信息保密。泄露患者的隐私和个人信息，或者未经患者同意公开其病历资料的，应当承担侵权责任。”
二、【法理释明】
条款适用性：
医疗机构泄露患者病历资料的行为，直接违反第一千二百二十六条规定的保密义务，属于侵害患者隐私和个人信息的侵权行为，依法应当承担侵权责任。
侵权责任的范畴包括财产损害赔偿和精神损害赔偿。即使未造成实际财产损失，隐私泄露通常导致精神损害（如焦虑、名誉受损），因此患者有权主张精神损害赔偿。
概念界定：
承担侵权责任：指因侵权行为产生的法律后果，包括停止侵害、赔偿损失等。赔偿损失可涵盖财产损失和精神损害，无需以财产损失为前提。
隐私和个人信息：包括病历资料等敏感信息，泄露即构成侵权，不以实际损害为要件（但损害赔偿需证明损害存在）。
规则逻辑：
该条款采用无过错责任原则：只要存在泄露行为，医疗机构即应承担责任，焦点在于行为本身而非后果严重性。精神损害赔偿的认定需结合损害事实，但侵权行为的成立不依赖于财产损失。
三、【实务指引】
患者主张精神损害赔偿时，需举证证明泄露行为的存在（如泄露证据、医疗机构过错）及精神损害程度（如心理影响证明）。
诉讼中，法院可能根据侵权情节、损害后果等因素酌情确定赔偿数额。</t>
  </si>
  <si>
    <t>【法律依据】
《中华人民共和国民法典》第一千二百二十六条：医疗机构及其医务人员应当对患者的隐私和个人信息保密。泄露患者的隐私和个人信息，或者未经患者同意公开其病历资料的，应当承担侵权责任。
【法理释明】
构成要件：
医疗机构泄露了患者的病历资料。
医疗机构的行为没有造成患者的实际财产损失。
概念界定：病历资料是指医务人员在医疗活动过程中形成的文字、符号、图表、影像、切片等资料的总和，包括门（急）诊病历和住院病历。
规则冲突：无。
【实务指引】
注意收集证据：如病历资料泄露的证据、医疗机构的过错证据等，以证明侵权行为的存在。
寻求法律救济：如果患者的合法权益受到侵害，可以通过法律途径寻求救济，如向法院提起诉讼等。</t>
  </si>
  <si>
    <t>一、【法律依据】
《中华人民共和国民法典》第一千二百二十六条：医疗机构及其医务人员应当对患者的隐私和个人信息保密。泄露患者的隐私和个人信息，或者未经患者同意公开其病历资料的，应当承担侵权责任。
二、【法理释明】
根据该法条规定，医疗机构及其医务人员负有对患者隐私和个人信息保密的义务，病历资料属于患者个人信息范畴。医疗机构泄露患者病历资料的行为违反了这一法定义务，构成侵权。
虽然未造成实际财产损失，但病历资料的泄露可能对患者的精神造成伤害，侵犯了患者的隐私权和个人信息权益。患者基于医疗机构的侵权行为，有权主张精神损害赔偿，因为这种侵权行为侵害了患者的精神性人格权益。
三、【实务指引】
患者需举证证明医疗机构存在泄露其病历资料的行为。
患者要证明因病历资料泄露遭受了精神损害。</t>
  </si>
  <si>
    <t>三、可解释推理：占比10%</t>
  </si>
  <si>
    <t>房屋买卖合同被确认无效后，买受人的占有使用费与出卖人的资金占用费在相互返还时如何适用法律？</t>
  </si>
  <si>
    <t>召回第157条。Agent 需解释无效合同的“恢复原状”与“过错相抵”的实务抵扣逻辑。</t>
  </si>
  <si>
    <t>【法律依据】
《中华人民共和国民法典》第五百六十六条：合同解除后，尚未履行的，终止履行；已经履行的，根据履行情况和合同性质，当事人可以请求恢复原状或者采取其他补救措施，并有权请求赔偿损失。合同因违约解除的，解除权人可以请求违约方承担违约责任，但是当事人另有约定的除外。主合同解除后，担保人对债务人应当承担的民事责任仍应当承担担保责任，但是担保合同另有约定的除外。
《中华人民共和国民法典》第五百六十七条：合同的权利义务关系终止，不影响合同中结算和清理条款的效力。
【法理释明】
构成要件：
房屋买卖合同被确认无效。
买受人占有房屋，出卖人占用购房款。
概念界定：占有使用费是指买受人在占有房屋期间，应当向出卖人支付的费用。资金占用费是指出卖人在占用购房款期间，应当向买受人支付的费用。
规则冲突：无。
【实务指引】
注意收集证据：如房屋买卖合同、房屋交付凭证、购房款支付凭证等，以证明双方的权利义务关系。
协商解决争议：如果双方对占有使用费和资金占用费的适用法律存在争议，可以通过协商解决。</t>
  </si>
  <si>
    <t>一、【法律依据】
《中华人民共和国民法典》第一百五十七条：民事法律行为无效、被撤销或者确定不发生效力后，行为人因该行为取得的财产，应当予以返还；不能返还或者没有必要返还的，应当折价补偿。有过错的一方应当赔偿对方由此所受到的损失；各方都有过错的，应当各自承担相应的责任。法律另有规定的，依照其规定。
二、【法理释明】
当房屋买卖合同被确认无效后，依据上述法律规定，买受人因合同取得的房屋应当返还给出卖人，出卖人因合同取得的购房款应当返还给买受人。
对于买受人的占有使用费，买受人在占有使用房屋期间，其对房屋的占有使用获得了一定利益，该利益属于因无效合同取得的财产利益，在合同无效后，买受人应当向出卖人支付合理的占有使用费。这符合 “行为人因该行为取得的财产，应当予以返还” 的规定。
对于出卖人的资金占用费，出卖人占有买受人支付的购房款期间，该资金被出卖人占用，出卖人获得了资金的使用利益，在合同无效后，出卖人应当向买受人支付合理的资金占用费，同样是基于 “行为人因该行为取得的财产，应当予以返还” 的原则。
如果一方对合同无效存在过错，还应当根据过错程度赔偿对方由此所受到的损失。若双方都有过错，则应当各自承担相应的责任。
三、【实务指引】
双方对占有使用费和资金占用费标准有争议的，需举证证明合理的计算标准。
若主张对方有过错要求赔偿损失，需举证证明对方的过错行为以及自身遭受的损失。</t>
  </si>
  <si>
    <t>债务人以不合理低价转让财产给近亲属，债权人行使撤销权时的举证责任和主观恶意如何认定？</t>
  </si>
  <si>
    <t>召回第538条、第539条。需联动解释受让人“知道或者应当知道”的推定逻辑。</t>
  </si>
  <si>
    <t>一、【法律依据】
根据《中华人民共和国民法典》第五百三十九条：“债务人以明显不合理的低价转让财产、以明显不合理的高价受让他人财产或者为他人的债务提供担保，影响债权人的债权实现，债务人的相对人知道或者应当知道该情形的，债权人可以请求人民法院撤销债务人的行为。”
二、【法理释明】
构成要件与举证责任：
（1）客观行为：债权人需举证证明债务人实施了 “以明显不合理的低价转让财产” 的行为。具体包括提供证据证明转让价格显著低于市场公允价值（如评估报告、同类交易比较）。
（2）影响债权实现：债权人需证明该转让行为导致债务人责任财产减少，从而影响其债权清偿（如债务人偿债能力下降的证据）。
（3）主观恶意认定：债权人需证明相对人（即受让人，此处为近亲属）“知道或者应当知道” 转让价格不合理且损害债权人利益。
知道或应当知道的认定：基于近亲属关系，法院可能推定相对人具有较高注意义务，但债权人仍负初步举证责任（如证明交易异常、关系亲密、受让人知晓债务人负债状况等）。若相对人抗辩，需自行举证不知情（如证明交易价格合理或善意）。
规则逻辑：
本条采用过错推定原则：债权人证明客观要件后，相对人如不能证明自己不知情或不应当知道，则承担不利后果。撤销权的成立不以债务人主观恶意为要件，但需相对人存在过错（知道或应当知道）。
近亲属因素：关系亲密性可强化 “应当知道” 的推定，但并非绝对，需结合具体证据（如交易时间、背景）。
三、【实务指引】
债权人行使撤销权时，应重点收集并提交证据证明转让价格不合理性（如市场价格数据、资产评估文件）、影响债权实现（如债务人资产负债表、负债证明）及相对人知情（如通信记录、交易背景资料）。
注意撤销权行使期限：自债权人知道或应当知道撤销事由之日起一年内行使，且自行为发生之日起五年内未行使则权利消灭（第五百四十一条）。</t>
  </si>
  <si>
    <t>【法律依据】
《中华人民共和国民法典》第五百三十九条：债务人以明显不合理的低价转让财产、以明显不合理的高价受让他人财产或者为他人的债务提供担保，影响债权人的债权实现，债务人的相对人知道或者应当知道该情形的，债权人可以请求人民法院撤销债务人的行为。
【法理释明】
构成要件：
债务人以明显不合理的低价转让财产给近亲属。
债务人的行为影响债权人的债权实现。
债务人的相对人知道或者应当知道该情形。
概念界定：明显不合理的低价是指转让价格低于当地指导价或者市场交易价的百分之七十。
规则冲突：无。
【实务指引】
注意收集证据：如债务人与近亲属之间的交易合同、交易价格、交易时间等，以证明债务人的行为是否属于明显不合理的低价转让财产。
证明债务人的相对人知道或者应当知道该情形：可以通过证人证言、债务人与近亲属之间的关系证明等方式，证明债务人的相对人知道或者应当知道该情形。</t>
  </si>
  <si>
    <t>一、【法律依据】
《中华人民共和国民法典》第五百三十九条：债务人以明显不合理的低价转让财产、以明显不合理的高价受让他人财产或者为他人的债务提供担保，影响债权人的债权实现，债务人的相对人知道或者应当知道该情形的，债权人可以请求人民法院撤销债务人的行为。
二、【法理释明】
举证责任：
债权人需要承担举证责任。根据该法条，债权人需证明以下几点：
（1）债务人存在以明显不合理的低价转让财产的行为。这需要债权人提供证据证明转让价格与市场价格相比明显偏低。
（2）该转让行为影响了债权人的债权实现。债权人要证明因债务人的转让行为，导致其债权无法得到足额清偿。
（3）债务人的相对人（即受让财产的近亲属）知道或者应当知道该情形。债权人需举证证明相对人知晓转让价格不合理以及该转让行为会影响债权人债权实现。
主观恶意认定：
对于债务人而言，以明显不合理的低价将财产转让给近亲属，这种行为本身可能暗示其具有逃避债务、损害债权人利益的主观恶意。因为正常的交易行为通常会遵循市场价格，而不合理低价转让可能是为了转移财产，使债权人难以实现债权。
对于债务人的近亲属，若其知道或者应当知道转让价格明显不合理且该转让行为会影响债权人债权实现，却仍然受让财产，可认定其具有主观恶意。这里的 “知道或者应当知道”，可以结合交易时的市场情况、近亲属与债务人的关系等因素综合判断。
三、【实务指引】
债权人应收集转让财产时的市场价格信息，以证明转让价格明显不合理。
债权人需收集债务人近亲属知晓转让情况及可能影响债权实现的相关证据。</t>
  </si>
  <si>
    <t>四、对抗样本：占比5%</t>
  </si>
  <si>
    <t>民法典中关于“分居满两年自动离婚”的具体条款规定在第几条？</t>
  </si>
  <si>
    <r>
      <rPr>
        <b/>
        <sz val="11"/>
        <color theme="1"/>
        <rFont val="宋体"/>
        <charset val="134"/>
        <scheme val="minor"/>
      </rPr>
      <t>防坑测试</t>
    </r>
    <r>
      <rPr>
        <sz val="11"/>
        <color theme="1"/>
        <rFont val="宋体"/>
        <charset val="134"/>
        <scheme val="minor"/>
      </rPr>
      <t>。Agent 需指出不存在“自动离婚”条款，并召回第1079条解释诉讼离婚中分居满两年的法定适用条件。</t>
    </r>
  </si>
  <si>
    <t>一、【法律依据】
根据《中华人民共和国民法典》第一千零七十九条第三款第四项：“有下列情形之一，调解无效的，应当准予离婚：...（四）因感情不和分居满二年；...”
二、【法理释明】
条款定位与适用：
第一千零七十九条规范的是诉讼离婚程序，而非自动离婚。分居满二年仅是法院判决准予离婚的法定情形之一，必须满足以下要件：
（1）分居原因：因感情不和而分居，而非因工作、学习等客观原因。
（2）分居期限：连续分居满二年，且该状态持续至诉讼时。
（3）调解无效：在离婚诉讼中，经法院调解后仍无法和好。
“自动离婚” 误解澄清：民法典未设立 “自动离婚” 制度。离婚必须通过法定程序（协议离婚或诉讼离婚）完成，分居满二年本身不导致婚姻关系自动解除。
概念界定：
分居：指夫妻双方不再共同生活，包括地理分隔和经济独立，但需有证据证明（如租房合同、通信记录）。
感情不和：主观状态，需通过双方行为、言词等证据综合认定（如争吵记录、分居协议）。
规则冲突与顺位：
本项为感情破裂的推定情形之一，但并非唯一标准。法院仍需综合审查其他因素（如第一千零七十九条其他项），且优先适用调解程序。
三、【实务指引】
主张分居满二年离婚时，债权人需承担举证责任，提供分居证据（如居住证明、证人证言、分居协议）及感情不和证据。
注意诉讼时效：离婚请求权无特殊时效限制，但分居事实的举证需及时收集，以避免证据灭失。</t>
  </si>
  <si>
    <t>【法律依据】
《中华人民共和国民法典》第一千零七十九条：夫妻一方要求离婚的，可以由有关组织进行调解或者直接向人民法院提起离婚诉讼。人民法院审理离婚案件，应当进行调解；如果感情确已破裂，调解无效的，应当准予离婚。有下列情形之一，调解无效的，应当准予离婚：（四）因感情不和分居满二年。
【法理释明】
构成要件：
夫妻感情不和。
分居满二年。
概念界定：分居是指夫妻双方在继续维持其夫妻关系的情况下，停止共同生活，并各自建立属于自己的生活方式的状况。
规则冲突：无。
【实务指引】
注意收集证据：如分居协议、分居证明、证人证言等，以证明夫妻感情不和且分居满二年。
证明感情确已破裂：除了分居满二年外，还需要证明夫妻感情确已破裂，如一方有赌博、吸毒等恶习屡教不改，一方被宣告失踪等。</t>
  </si>
  <si>
    <t>一、【法律依据】
《中华人民共和国民法典》第一千零七十九条：夫妻一方要求离婚的，可以由有关组织进行调解或者直接向人民法院提起离婚诉讼。人民法院审理离婚案件，应当进行调解；如果感情确已破裂，调解无效的，应当准予离婚。有下列情形之一，调解无效的，应当准予离婚：（四）因感情不和分居满二年。
二、【法理释明】
需要明确的是，并不存在 “分居满两年自动离婚” 的情况。根据该法条，“因感情不和分居满二年” 只是法院在审理离婚案件时，判断夫妻感情是否确已破裂的一个法定情形。当夫妻一方要求离婚，向法院提起诉讼后，法院会先进行调解。若调解无效，且存在因感情不和分居满二年的情形，法院应当准予离婚。也就是说，离婚需要经过法定的程序，即向法院提起离婚诉讼，由法院进行审理和判决，而不是自动解除婚姻关系。
三、【实务指引】
主张 “因感情不和分居满二年” 的一方，需举证证明分居的事实以及分居是因感情不和导致。
诉讼时效从一方知道或应当知道其权利受到侵害时起算，即一方认为符合离婚条件时可向法院提起诉讼。</t>
  </si>
  <si>
    <t>大模型：DeepSeek-V3.1（默认）；Doubao-32K；Doubao-1.5-pro-32K</t>
  </si>
  <si>
    <t>注：检索策略均为默认设置</t>
  </si>
</sst>
</file>

<file path=xl/styles.xml><?xml version="1.0" encoding="utf-8"?>
<styleSheet xmlns="http://schemas.openxmlformats.org/spreadsheetml/2006/main" xmlns:mc="http://schemas.openxmlformats.org/markup-compatibility/2006" xmlns:xr9="http://schemas.microsoft.com/office/spreadsheetml/2016/revision9" mc:Ignorable="xr9">
  <numFmts count="5">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0.00_ "/>
  </numFmts>
  <fonts count="22">
    <font>
      <sz val="11"/>
      <color theme="1"/>
      <name val="宋体"/>
      <charset val="134"/>
      <scheme val="minor"/>
    </font>
    <font>
      <sz val="11"/>
      <color rgb="FFFF0000"/>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b/>
      <sz val="11"/>
      <color theme="1"/>
      <name val="宋体"/>
      <charset val="134"/>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2" fillId="0" borderId="0" applyNumberFormat="0" applyFill="0" applyBorder="0" applyAlignment="0" applyProtection="0">
      <alignment vertical="center"/>
    </xf>
    <xf numFmtId="0" fontId="3" fillId="0" borderId="0" applyNumberFormat="0" applyFill="0" applyBorder="0" applyAlignment="0" applyProtection="0">
      <alignment vertical="center"/>
    </xf>
    <xf numFmtId="0" fontId="0" fillId="2" borderId="1" applyNumberFormat="0" applyFont="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2" applyNumberFormat="0" applyFill="0" applyAlignment="0" applyProtection="0">
      <alignment vertical="center"/>
    </xf>
    <xf numFmtId="0" fontId="8" fillId="0" borderId="2" applyNumberFormat="0" applyFill="0" applyAlignment="0" applyProtection="0">
      <alignment vertical="center"/>
    </xf>
    <xf numFmtId="0" fontId="9" fillId="0" borderId="3" applyNumberFormat="0" applyFill="0" applyAlignment="0" applyProtection="0">
      <alignment vertical="center"/>
    </xf>
    <xf numFmtId="0" fontId="9" fillId="0" borderId="0" applyNumberFormat="0" applyFill="0" applyBorder="0" applyAlignment="0" applyProtection="0">
      <alignment vertical="center"/>
    </xf>
    <xf numFmtId="0" fontId="10" fillId="3" borderId="4" applyNumberFormat="0" applyAlignment="0" applyProtection="0">
      <alignment vertical="center"/>
    </xf>
    <xf numFmtId="0" fontId="11" fillId="4" borderId="5" applyNumberFormat="0" applyAlignment="0" applyProtection="0">
      <alignment vertical="center"/>
    </xf>
    <xf numFmtId="0" fontId="12" fillId="4" borderId="4" applyNumberFormat="0" applyAlignment="0" applyProtection="0">
      <alignment vertical="center"/>
    </xf>
    <xf numFmtId="0" fontId="13" fillId="5" borderId="6" applyNumberFormat="0" applyAlignment="0" applyProtection="0">
      <alignment vertical="center"/>
    </xf>
    <xf numFmtId="0" fontId="14" fillId="0" borderId="7" applyNumberFormat="0" applyFill="0" applyAlignment="0" applyProtection="0">
      <alignment vertical="center"/>
    </xf>
    <xf numFmtId="0" fontId="15" fillId="0" borderId="8" applyNumberFormat="0" applyFill="0" applyAlignment="0" applyProtection="0">
      <alignment vertical="center"/>
    </xf>
    <xf numFmtId="0" fontId="16" fillId="6" borderId="0" applyNumberFormat="0" applyBorder="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0" fillId="11" borderId="0" applyNumberFormat="0" applyBorder="0" applyAlignment="0" applyProtection="0">
      <alignment vertical="center"/>
    </xf>
    <xf numFmtId="0" fontId="19" fillId="12" borderId="0" applyNumberFormat="0" applyBorder="0" applyAlignment="0" applyProtection="0">
      <alignment vertical="center"/>
    </xf>
    <xf numFmtId="0" fontId="19" fillId="13" borderId="0" applyNumberFormat="0" applyBorder="0" applyAlignment="0" applyProtection="0">
      <alignment vertical="center"/>
    </xf>
    <xf numFmtId="0" fontId="20" fillId="14" borderId="0" applyNumberFormat="0" applyBorder="0" applyAlignment="0" applyProtection="0">
      <alignment vertical="center"/>
    </xf>
    <xf numFmtId="0" fontId="20" fillId="15" borderId="0" applyNumberFormat="0" applyBorder="0" applyAlignment="0" applyProtection="0">
      <alignment vertical="center"/>
    </xf>
    <xf numFmtId="0" fontId="19" fillId="16" borderId="0" applyNumberFormat="0" applyBorder="0" applyAlignment="0" applyProtection="0">
      <alignment vertical="center"/>
    </xf>
    <xf numFmtId="0" fontId="19" fillId="17" borderId="0" applyNumberFormat="0" applyBorder="0" applyAlignment="0" applyProtection="0">
      <alignment vertical="center"/>
    </xf>
    <xf numFmtId="0" fontId="20" fillId="18" borderId="0" applyNumberFormat="0" applyBorder="0" applyAlignment="0" applyProtection="0">
      <alignment vertical="center"/>
    </xf>
    <xf numFmtId="0" fontId="20" fillId="19" borderId="0" applyNumberFormat="0" applyBorder="0" applyAlignment="0" applyProtection="0">
      <alignment vertical="center"/>
    </xf>
    <xf numFmtId="0" fontId="19" fillId="20" borderId="0" applyNumberFormat="0" applyBorder="0" applyAlignment="0" applyProtection="0">
      <alignment vertical="center"/>
    </xf>
    <xf numFmtId="0" fontId="19" fillId="21" borderId="0" applyNumberFormat="0" applyBorder="0" applyAlignment="0" applyProtection="0">
      <alignment vertical="center"/>
    </xf>
    <xf numFmtId="0" fontId="20" fillId="22" borderId="0" applyNumberFormat="0" applyBorder="0" applyAlignment="0" applyProtection="0">
      <alignment vertical="center"/>
    </xf>
    <xf numFmtId="0" fontId="20" fillId="23" borderId="0" applyNumberFormat="0" applyBorder="0" applyAlignment="0" applyProtection="0">
      <alignment vertical="center"/>
    </xf>
    <xf numFmtId="0" fontId="19" fillId="24" borderId="0" applyNumberFormat="0" applyBorder="0" applyAlignment="0" applyProtection="0">
      <alignment vertical="center"/>
    </xf>
    <xf numFmtId="0" fontId="19" fillId="25" borderId="0" applyNumberFormat="0" applyBorder="0" applyAlignment="0" applyProtection="0">
      <alignment vertical="center"/>
    </xf>
    <xf numFmtId="0" fontId="20" fillId="26" borderId="0" applyNumberFormat="0" applyBorder="0" applyAlignment="0" applyProtection="0">
      <alignment vertical="center"/>
    </xf>
    <xf numFmtId="0" fontId="20" fillId="27" borderId="0" applyNumberFormat="0" applyBorder="0" applyAlignment="0" applyProtection="0">
      <alignment vertical="center"/>
    </xf>
    <xf numFmtId="0" fontId="19" fillId="28" borderId="0" applyNumberFormat="0" applyBorder="0" applyAlignment="0" applyProtection="0">
      <alignment vertical="center"/>
    </xf>
    <xf numFmtId="0" fontId="19" fillId="29" borderId="0" applyNumberFormat="0" applyBorder="0" applyAlignment="0" applyProtection="0">
      <alignment vertical="center"/>
    </xf>
    <xf numFmtId="0" fontId="20" fillId="30" borderId="0" applyNumberFormat="0" applyBorder="0" applyAlignment="0" applyProtection="0">
      <alignment vertical="center"/>
    </xf>
    <xf numFmtId="0" fontId="20" fillId="31" borderId="0" applyNumberFormat="0" applyBorder="0" applyAlignment="0" applyProtection="0">
      <alignment vertical="center"/>
    </xf>
    <xf numFmtId="0" fontId="19" fillId="32" borderId="0" applyNumberFormat="0" applyBorder="0" applyAlignment="0" applyProtection="0">
      <alignment vertical="center"/>
    </xf>
  </cellStyleXfs>
  <cellXfs count="12">
    <xf numFmtId="0" fontId="0" fillId="0" borderId="0" xfId="0">
      <alignment vertical="center"/>
    </xf>
    <xf numFmtId="0" fontId="0" fillId="0" borderId="0" xfId="0" applyFill="1" applyAlignment="1">
      <alignment vertical="center"/>
    </xf>
    <xf numFmtId="0" fontId="0" fillId="0" borderId="0" xfId="0" applyFill="1" applyAlignment="1">
      <alignment horizontal="center" vertical="center"/>
    </xf>
    <xf numFmtId="0" fontId="0" fillId="0" borderId="0" xfId="0" applyFill="1" applyAlignment="1">
      <alignment vertical="center" wrapText="1"/>
    </xf>
    <xf numFmtId="0" fontId="1" fillId="0" borderId="0" xfId="0" applyFont="1" applyFill="1" applyAlignment="1">
      <alignment vertical="center"/>
    </xf>
    <xf numFmtId="0" fontId="1" fillId="0" borderId="0" xfId="0" applyFont="1">
      <alignment vertical="center"/>
    </xf>
    <xf numFmtId="0" fontId="1" fillId="0" borderId="0" xfId="0" applyFont="1" applyFill="1" applyAlignment="1">
      <alignment vertical="center" wrapText="1"/>
    </xf>
    <xf numFmtId="58" fontId="0" fillId="0" borderId="0" xfId="0" applyNumberFormat="1" applyFill="1" applyAlignment="1">
      <alignment vertical="center" wrapText="1"/>
    </xf>
    <xf numFmtId="0" fontId="1" fillId="0" borderId="0" xfId="0" applyFont="1" applyFill="1" applyAlignment="1">
      <alignment vertical="center" wrapText="1"/>
    </xf>
    <xf numFmtId="176" fontId="0" fillId="0" borderId="0" xfId="0" applyNumberFormat="1">
      <alignment vertical="center"/>
    </xf>
    <xf numFmtId="0" fontId="0" fillId="0" borderId="0" xfId="0" applyFill="1" applyAlignment="1">
      <alignment horizontal="left" vertical="center"/>
    </xf>
    <xf numFmtId="0" fontId="0" fillId="0" borderId="0" xfId="0" applyFill="1" applyAlignment="1">
      <alignment horizontal="left" vertical="center"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X41"/>
  <sheetViews>
    <sheetView tabSelected="1" zoomScale="70" zoomScaleNormal="70" topLeftCell="A23" workbookViewId="0">
      <selection activeCell="G4" sqref="G4"/>
    </sheetView>
  </sheetViews>
  <sheetFormatPr defaultColWidth="8.72727272727273" defaultRowHeight="14"/>
  <cols>
    <col min="1" max="1" width="22" customWidth="1"/>
    <col min="2" max="2" width="11.9090909090909" customWidth="1"/>
    <col min="3" max="3" width="13.2727272727273" customWidth="1"/>
    <col min="4" max="4" width="138.454545454545" customWidth="1"/>
    <col min="5" max="10" width="14.6454545454545" customWidth="1"/>
    <col min="11" max="11" width="87" customWidth="1"/>
    <col min="12" max="17" width="13.3545454545455" customWidth="1"/>
    <col min="18" max="18" width="91.6363636363636" customWidth="1"/>
  </cols>
  <sheetData>
    <row r="1" spans="1:24">
      <c r="A1" s="1" t="s">
        <v>0</v>
      </c>
      <c r="B1" s="2" t="s">
        <v>1</v>
      </c>
      <c r="C1" s="2" t="s">
        <v>2</v>
      </c>
      <c r="D1" s="1" t="s">
        <v>3</v>
      </c>
      <c r="E1" s="1" t="s">
        <v>4</v>
      </c>
      <c r="F1" s="1" t="s">
        <v>5</v>
      </c>
      <c r="G1" s="1" t="s">
        <v>6</v>
      </c>
      <c r="H1" s="1" t="s">
        <v>7</v>
      </c>
      <c r="I1" s="1" t="s">
        <v>8</v>
      </c>
      <c r="J1" s="1" t="s">
        <v>9</v>
      </c>
      <c r="K1" s="1" t="s">
        <v>10</v>
      </c>
      <c r="L1" s="1" t="s">
        <v>4</v>
      </c>
      <c r="M1" s="1" t="s">
        <v>5</v>
      </c>
      <c r="N1" s="1" t="s">
        <v>6</v>
      </c>
      <c r="O1" s="1" t="s">
        <v>7</v>
      </c>
      <c r="P1" s="1" t="s">
        <v>8</v>
      </c>
      <c r="Q1" s="1" t="s">
        <v>9</v>
      </c>
      <c r="R1" s="1" t="s">
        <v>11</v>
      </c>
      <c r="S1" s="1" t="s">
        <v>4</v>
      </c>
      <c r="T1" s="1" t="s">
        <v>5</v>
      </c>
      <c r="U1" s="1" t="s">
        <v>6</v>
      </c>
      <c r="V1" s="1" t="s">
        <v>7</v>
      </c>
      <c r="W1" s="1" t="s">
        <v>8</v>
      </c>
      <c r="X1" s="1" t="s">
        <v>9</v>
      </c>
    </row>
    <row r="2" spans="1:24">
      <c r="A2" s="1" t="s">
        <v>12</v>
      </c>
      <c r="B2" s="1"/>
      <c r="C2" s="1"/>
      <c r="D2" s="1"/>
      <c r="E2" s="1"/>
      <c r="F2" s="1"/>
      <c r="G2" s="1"/>
      <c r="H2" s="1"/>
      <c r="I2" s="1"/>
      <c r="J2" s="3">
        <f t="shared" ref="J2:J24" si="0">0.4*E2+0.2*F2+0.2*G2+0.1*H2+0.1*I2</f>
        <v>0</v>
      </c>
      <c r="K2" s="1"/>
      <c r="L2" s="1"/>
      <c r="M2" s="1"/>
      <c r="N2" s="1"/>
      <c r="O2" s="1"/>
      <c r="P2" s="1"/>
      <c r="Q2" s="1"/>
      <c r="R2" s="1"/>
      <c r="X2" s="3">
        <f t="shared" ref="X2:X24" si="1">0.4*S2+0.2*T2+0.2*U2+0.1*V2+0.1*W2</f>
        <v>0</v>
      </c>
    </row>
    <row r="3" ht="406" spans="1:24">
      <c r="A3" s="3" t="s">
        <v>13</v>
      </c>
      <c r="B3" s="3" t="s">
        <v>14</v>
      </c>
      <c r="C3" s="3" t="s">
        <v>15</v>
      </c>
      <c r="D3" s="3" t="s">
        <v>16</v>
      </c>
      <c r="E3" s="3">
        <v>2</v>
      </c>
      <c r="F3" s="3">
        <v>1</v>
      </c>
      <c r="G3" s="3">
        <v>2</v>
      </c>
      <c r="H3" s="3">
        <v>1</v>
      </c>
      <c r="I3" s="3">
        <v>2</v>
      </c>
      <c r="J3" s="3">
        <f t="shared" si="0"/>
        <v>1.7</v>
      </c>
      <c r="K3" s="3" t="s">
        <v>17</v>
      </c>
      <c r="L3" s="3">
        <v>2</v>
      </c>
      <c r="M3" s="3">
        <v>2</v>
      </c>
      <c r="N3" s="3">
        <v>2</v>
      </c>
      <c r="O3" s="3">
        <v>1</v>
      </c>
      <c r="P3" s="3">
        <v>2</v>
      </c>
      <c r="Q3" s="3">
        <f>0.4*L3+0.2*M3+0.2*N3+0.1*O3+0.1*P3</f>
        <v>1.9</v>
      </c>
      <c r="R3" s="3" t="s">
        <v>18</v>
      </c>
      <c r="S3">
        <v>2</v>
      </c>
      <c r="T3">
        <v>1</v>
      </c>
      <c r="U3">
        <v>2</v>
      </c>
      <c r="V3">
        <v>1</v>
      </c>
      <c r="W3">
        <v>2</v>
      </c>
      <c r="X3" s="3">
        <f t="shared" si="1"/>
        <v>1.7</v>
      </c>
    </row>
    <row r="4" ht="378" spans="1:24">
      <c r="A4" s="3" t="s">
        <v>19</v>
      </c>
      <c r="B4" s="3" t="s">
        <v>14</v>
      </c>
      <c r="C4" s="3" t="s">
        <v>20</v>
      </c>
      <c r="D4" s="3" t="s">
        <v>21</v>
      </c>
      <c r="E4" s="3">
        <v>1</v>
      </c>
      <c r="F4" s="3">
        <v>1</v>
      </c>
      <c r="G4" s="3">
        <v>2</v>
      </c>
      <c r="H4" s="3">
        <v>1</v>
      </c>
      <c r="I4" s="3">
        <v>2</v>
      </c>
      <c r="J4" s="3">
        <f t="shared" si="0"/>
        <v>1.3</v>
      </c>
      <c r="K4" s="3" t="s">
        <v>22</v>
      </c>
      <c r="L4" s="3">
        <v>2</v>
      </c>
      <c r="M4" s="3">
        <v>1</v>
      </c>
      <c r="N4" s="3">
        <v>2</v>
      </c>
      <c r="O4" s="3">
        <v>1</v>
      </c>
      <c r="P4" s="3">
        <v>2</v>
      </c>
      <c r="Q4" s="3">
        <f t="shared" ref="Q4:Q25" si="2">0.4*L4+0.2*M4+0.2*N4+0.1*O4+0.1*P4</f>
        <v>1.7</v>
      </c>
      <c r="R4" s="4" t="s">
        <v>23</v>
      </c>
      <c r="S4" s="5">
        <v>0</v>
      </c>
      <c r="T4" s="5">
        <v>0</v>
      </c>
      <c r="U4" s="5">
        <v>0</v>
      </c>
      <c r="V4" s="5">
        <v>2</v>
      </c>
      <c r="W4" s="5">
        <v>2</v>
      </c>
      <c r="X4" s="6">
        <f t="shared" si="1"/>
        <v>0.4</v>
      </c>
    </row>
    <row r="5" ht="378" spans="1:24">
      <c r="A5" s="3" t="s">
        <v>24</v>
      </c>
      <c r="B5" s="3" t="s">
        <v>25</v>
      </c>
      <c r="C5" s="3" t="s">
        <v>26</v>
      </c>
      <c r="D5" s="3" t="s">
        <v>27</v>
      </c>
      <c r="E5" s="3">
        <v>2</v>
      </c>
      <c r="F5" s="3">
        <v>2</v>
      </c>
      <c r="G5" s="3">
        <v>1</v>
      </c>
      <c r="H5" s="3">
        <v>1</v>
      </c>
      <c r="I5" s="3">
        <v>2</v>
      </c>
      <c r="J5" s="3">
        <f t="shared" si="0"/>
        <v>1.7</v>
      </c>
      <c r="K5" s="3" t="s">
        <v>28</v>
      </c>
      <c r="L5" s="3">
        <v>2</v>
      </c>
      <c r="M5" s="3">
        <v>1</v>
      </c>
      <c r="N5" s="3">
        <v>2</v>
      </c>
      <c r="O5" s="3">
        <v>1</v>
      </c>
      <c r="P5" s="3">
        <v>2</v>
      </c>
      <c r="Q5" s="3">
        <f t="shared" si="2"/>
        <v>1.7</v>
      </c>
      <c r="R5" s="3" t="s">
        <v>29</v>
      </c>
      <c r="S5">
        <v>2</v>
      </c>
      <c r="T5">
        <v>1</v>
      </c>
      <c r="U5">
        <v>2</v>
      </c>
      <c r="V5">
        <v>2</v>
      </c>
      <c r="W5">
        <v>2</v>
      </c>
      <c r="X5" s="3">
        <f t="shared" si="1"/>
        <v>1.8</v>
      </c>
    </row>
    <row r="6" ht="350" spans="1:24">
      <c r="A6" s="3" t="s">
        <v>30</v>
      </c>
      <c r="B6" s="3" t="s">
        <v>31</v>
      </c>
      <c r="C6" s="3" t="s">
        <v>32</v>
      </c>
      <c r="D6" s="3" t="s">
        <v>33</v>
      </c>
      <c r="E6" s="3">
        <v>2</v>
      </c>
      <c r="F6" s="3">
        <v>2</v>
      </c>
      <c r="G6" s="3">
        <v>2</v>
      </c>
      <c r="H6" s="3">
        <v>1</v>
      </c>
      <c r="I6" s="3">
        <v>2</v>
      </c>
      <c r="J6" s="3">
        <f t="shared" si="0"/>
        <v>1.9</v>
      </c>
      <c r="K6" s="3" t="s">
        <v>34</v>
      </c>
      <c r="L6" s="3">
        <v>2</v>
      </c>
      <c r="M6" s="3">
        <v>1</v>
      </c>
      <c r="N6" s="3">
        <v>2</v>
      </c>
      <c r="O6" s="3">
        <v>1</v>
      </c>
      <c r="P6" s="3">
        <v>2</v>
      </c>
      <c r="Q6" s="3">
        <f t="shared" si="2"/>
        <v>1.7</v>
      </c>
      <c r="R6" s="3" t="s">
        <v>35</v>
      </c>
      <c r="S6">
        <v>2</v>
      </c>
      <c r="T6">
        <v>1</v>
      </c>
      <c r="U6">
        <v>2</v>
      </c>
      <c r="V6">
        <v>2</v>
      </c>
      <c r="W6">
        <v>2</v>
      </c>
      <c r="X6" s="3">
        <f t="shared" si="1"/>
        <v>1.8</v>
      </c>
    </row>
    <row r="7" ht="409.5" spans="1:24">
      <c r="A7" s="3" t="s">
        <v>36</v>
      </c>
      <c r="B7" s="3" t="s">
        <v>14</v>
      </c>
      <c r="C7" s="3" t="s">
        <v>37</v>
      </c>
      <c r="D7" s="3" t="s">
        <v>38</v>
      </c>
      <c r="E7" s="3">
        <v>2</v>
      </c>
      <c r="F7" s="3">
        <v>2</v>
      </c>
      <c r="G7" s="3">
        <v>2</v>
      </c>
      <c r="H7" s="3">
        <v>1</v>
      </c>
      <c r="I7" s="3">
        <v>2</v>
      </c>
      <c r="J7" s="3">
        <f t="shared" si="0"/>
        <v>1.9</v>
      </c>
      <c r="K7" s="3" t="s">
        <v>39</v>
      </c>
      <c r="L7" s="3">
        <v>2</v>
      </c>
      <c r="M7" s="3">
        <v>2</v>
      </c>
      <c r="N7" s="3">
        <v>2</v>
      </c>
      <c r="O7" s="3">
        <v>1</v>
      </c>
      <c r="P7" s="3">
        <v>2</v>
      </c>
      <c r="Q7" s="3">
        <f t="shared" si="2"/>
        <v>1.9</v>
      </c>
      <c r="R7" s="3" t="s">
        <v>40</v>
      </c>
      <c r="S7">
        <v>2</v>
      </c>
      <c r="T7">
        <v>2</v>
      </c>
      <c r="U7">
        <v>2</v>
      </c>
      <c r="V7">
        <v>1</v>
      </c>
      <c r="W7">
        <v>2</v>
      </c>
      <c r="X7" s="3">
        <f t="shared" si="1"/>
        <v>1.9</v>
      </c>
    </row>
    <row r="8" ht="350" spans="1:24">
      <c r="A8" s="3" t="s">
        <v>41</v>
      </c>
      <c r="B8" s="3" t="s">
        <v>25</v>
      </c>
      <c r="C8" s="3" t="s">
        <v>42</v>
      </c>
      <c r="D8" s="3" t="s">
        <v>43</v>
      </c>
      <c r="E8" s="3">
        <v>2</v>
      </c>
      <c r="F8" s="3">
        <v>2</v>
      </c>
      <c r="G8" s="3">
        <v>1</v>
      </c>
      <c r="H8" s="3">
        <v>1</v>
      </c>
      <c r="I8" s="3">
        <v>2</v>
      </c>
      <c r="J8" s="3">
        <f t="shared" si="0"/>
        <v>1.7</v>
      </c>
      <c r="K8" s="3" t="s">
        <v>44</v>
      </c>
      <c r="L8" s="3">
        <v>2</v>
      </c>
      <c r="M8" s="3">
        <v>1</v>
      </c>
      <c r="N8" s="3">
        <v>2</v>
      </c>
      <c r="O8" s="3">
        <v>1</v>
      </c>
      <c r="P8" s="3">
        <v>2</v>
      </c>
      <c r="Q8" s="3">
        <f t="shared" si="2"/>
        <v>1.7</v>
      </c>
      <c r="R8" s="7" t="s">
        <v>45</v>
      </c>
      <c r="S8">
        <v>2</v>
      </c>
      <c r="T8">
        <v>1</v>
      </c>
      <c r="U8">
        <v>2</v>
      </c>
      <c r="V8">
        <v>2</v>
      </c>
      <c r="W8">
        <v>2</v>
      </c>
      <c r="X8" s="3">
        <f t="shared" si="1"/>
        <v>1.8</v>
      </c>
    </row>
    <row r="9" ht="280" spans="1:24">
      <c r="A9" s="3" t="s">
        <v>46</v>
      </c>
      <c r="B9" s="3" t="s">
        <v>25</v>
      </c>
      <c r="C9" s="3" t="s">
        <v>47</v>
      </c>
      <c r="D9" s="3" t="s">
        <v>48</v>
      </c>
      <c r="E9" s="3">
        <v>2</v>
      </c>
      <c r="F9" s="3">
        <v>2</v>
      </c>
      <c r="G9" s="3">
        <v>2</v>
      </c>
      <c r="H9" s="3">
        <v>2</v>
      </c>
      <c r="I9" s="3">
        <v>1</v>
      </c>
      <c r="J9" s="3">
        <f t="shared" si="0"/>
        <v>1.9</v>
      </c>
      <c r="K9" s="3" t="s">
        <v>49</v>
      </c>
      <c r="L9" s="3">
        <v>2</v>
      </c>
      <c r="M9" s="3">
        <v>1</v>
      </c>
      <c r="N9" s="3">
        <v>2</v>
      </c>
      <c r="O9" s="3">
        <v>1</v>
      </c>
      <c r="P9" s="3">
        <v>2</v>
      </c>
      <c r="Q9" s="3">
        <f t="shared" si="2"/>
        <v>1.7</v>
      </c>
      <c r="R9" s="3" t="s">
        <v>50</v>
      </c>
      <c r="S9">
        <v>2</v>
      </c>
      <c r="T9">
        <v>1</v>
      </c>
      <c r="U9">
        <v>2</v>
      </c>
      <c r="V9">
        <v>2</v>
      </c>
      <c r="W9">
        <v>2</v>
      </c>
      <c r="X9" s="3">
        <f t="shared" si="1"/>
        <v>1.8</v>
      </c>
    </row>
    <row r="10" ht="406" spans="1:24">
      <c r="A10" s="3" t="s">
        <v>51</v>
      </c>
      <c r="B10" s="3" t="s">
        <v>14</v>
      </c>
      <c r="C10" s="3" t="s">
        <v>52</v>
      </c>
      <c r="D10" s="3" t="s">
        <v>53</v>
      </c>
      <c r="E10" s="3">
        <v>2</v>
      </c>
      <c r="F10" s="3">
        <v>2</v>
      </c>
      <c r="G10" s="3">
        <v>2</v>
      </c>
      <c r="H10" s="3">
        <v>1</v>
      </c>
      <c r="I10" s="3">
        <v>2</v>
      </c>
      <c r="J10" s="3">
        <f t="shared" si="0"/>
        <v>1.9</v>
      </c>
      <c r="K10" s="3" t="s">
        <v>54</v>
      </c>
      <c r="L10" s="3">
        <v>2</v>
      </c>
      <c r="M10" s="3">
        <v>1</v>
      </c>
      <c r="N10" s="3">
        <v>2</v>
      </c>
      <c r="O10" s="3">
        <v>1</v>
      </c>
      <c r="P10" s="3">
        <v>2</v>
      </c>
      <c r="Q10" s="3">
        <f t="shared" si="2"/>
        <v>1.7</v>
      </c>
      <c r="R10" s="3" t="s">
        <v>55</v>
      </c>
      <c r="S10">
        <v>2</v>
      </c>
      <c r="T10">
        <v>1</v>
      </c>
      <c r="U10">
        <v>2</v>
      </c>
      <c r="V10">
        <v>2</v>
      </c>
      <c r="W10">
        <v>2</v>
      </c>
      <c r="X10" s="3">
        <f t="shared" si="1"/>
        <v>1.8</v>
      </c>
    </row>
    <row r="11" ht="266" spans="1:24">
      <c r="A11" s="3" t="s">
        <v>56</v>
      </c>
      <c r="B11" s="3" t="s">
        <v>25</v>
      </c>
      <c r="C11" s="3" t="s">
        <v>57</v>
      </c>
      <c r="D11" s="3" t="s">
        <v>58</v>
      </c>
      <c r="E11" s="3">
        <v>2</v>
      </c>
      <c r="F11" s="3">
        <v>1</v>
      </c>
      <c r="G11" s="3">
        <v>2</v>
      </c>
      <c r="H11" s="3">
        <v>1</v>
      </c>
      <c r="I11" s="3">
        <v>2</v>
      </c>
      <c r="J11" s="3">
        <f t="shared" si="0"/>
        <v>1.7</v>
      </c>
      <c r="K11" s="3" t="s">
        <v>59</v>
      </c>
      <c r="L11" s="3">
        <v>2</v>
      </c>
      <c r="M11" s="3">
        <v>1</v>
      </c>
      <c r="N11" s="3">
        <v>2</v>
      </c>
      <c r="O11" s="3">
        <v>2</v>
      </c>
      <c r="P11" s="3">
        <v>2</v>
      </c>
      <c r="Q11" s="3">
        <f t="shared" si="2"/>
        <v>1.8</v>
      </c>
      <c r="R11" s="3" t="s">
        <v>60</v>
      </c>
      <c r="S11">
        <v>2</v>
      </c>
      <c r="T11">
        <v>1</v>
      </c>
      <c r="U11">
        <v>2</v>
      </c>
      <c r="V11">
        <v>2</v>
      </c>
      <c r="W11">
        <v>2</v>
      </c>
      <c r="X11" s="3">
        <f t="shared" si="1"/>
        <v>1.8</v>
      </c>
    </row>
    <row r="12" ht="280" spans="1:24">
      <c r="A12" s="3" t="s">
        <v>61</v>
      </c>
      <c r="B12" s="3" t="s">
        <v>25</v>
      </c>
      <c r="C12" s="3" t="s">
        <v>62</v>
      </c>
      <c r="D12" s="8" t="s">
        <v>63</v>
      </c>
      <c r="E12" s="8">
        <v>0</v>
      </c>
      <c r="F12" s="8">
        <v>0</v>
      </c>
      <c r="G12" s="8">
        <v>0</v>
      </c>
      <c r="H12" s="8">
        <v>2</v>
      </c>
      <c r="I12" s="8">
        <v>2</v>
      </c>
      <c r="J12" s="6">
        <f t="shared" si="0"/>
        <v>0.4</v>
      </c>
      <c r="K12" s="3" t="s">
        <v>64</v>
      </c>
      <c r="L12" s="3">
        <v>1</v>
      </c>
      <c r="M12" s="3">
        <v>2</v>
      </c>
      <c r="N12" s="3">
        <v>2</v>
      </c>
      <c r="O12" s="3">
        <v>2</v>
      </c>
      <c r="P12" s="3">
        <v>2</v>
      </c>
      <c r="Q12" s="3">
        <f t="shared" si="2"/>
        <v>1.6</v>
      </c>
      <c r="R12" s="3" t="s">
        <v>65</v>
      </c>
      <c r="S12">
        <v>2</v>
      </c>
      <c r="T12">
        <v>1</v>
      </c>
      <c r="U12">
        <v>2</v>
      </c>
      <c r="V12">
        <v>2</v>
      </c>
      <c r="W12">
        <v>2</v>
      </c>
      <c r="X12" s="3">
        <f t="shared" si="1"/>
        <v>1.8</v>
      </c>
    </row>
    <row r="13" ht="266" spans="1:24">
      <c r="A13" s="3" t="s">
        <v>66</v>
      </c>
      <c r="B13" s="3" t="s">
        <v>67</v>
      </c>
      <c r="C13" s="3" t="s">
        <v>68</v>
      </c>
      <c r="D13" s="8" t="s">
        <v>63</v>
      </c>
      <c r="E13" s="8">
        <v>0</v>
      </c>
      <c r="F13" s="8">
        <v>0</v>
      </c>
      <c r="G13" s="8">
        <v>0</v>
      </c>
      <c r="H13" s="8">
        <v>2</v>
      </c>
      <c r="I13" s="8">
        <v>2</v>
      </c>
      <c r="J13" s="6">
        <f t="shared" si="0"/>
        <v>0.4</v>
      </c>
      <c r="K13" s="3" t="s">
        <v>69</v>
      </c>
      <c r="L13" s="3">
        <v>2</v>
      </c>
      <c r="M13" s="3">
        <v>1</v>
      </c>
      <c r="N13" s="3">
        <v>2</v>
      </c>
      <c r="O13" s="3">
        <v>2</v>
      </c>
      <c r="P13" s="3">
        <v>2</v>
      </c>
      <c r="Q13" s="3">
        <f t="shared" si="2"/>
        <v>1.8</v>
      </c>
      <c r="R13" s="3" t="s">
        <v>70</v>
      </c>
      <c r="S13">
        <v>2</v>
      </c>
      <c r="T13">
        <v>1</v>
      </c>
      <c r="U13">
        <v>2</v>
      </c>
      <c r="V13">
        <v>2</v>
      </c>
      <c r="W13">
        <v>2</v>
      </c>
      <c r="X13" s="3">
        <f t="shared" si="1"/>
        <v>1.8</v>
      </c>
    </row>
    <row r="14" ht="392" spans="1:24">
      <c r="A14" s="3" t="s">
        <v>71</v>
      </c>
      <c r="B14" s="3" t="s">
        <v>67</v>
      </c>
      <c r="C14" s="3" t="s">
        <v>72</v>
      </c>
      <c r="D14" s="3" t="s">
        <v>73</v>
      </c>
      <c r="E14" s="3">
        <v>2</v>
      </c>
      <c r="F14" s="3">
        <v>2</v>
      </c>
      <c r="G14" s="3">
        <v>2</v>
      </c>
      <c r="H14" s="3">
        <v>1</v>
      </c>
      <c r="I14" s="3">
        <v>2</v>
      </c>
      <c r="J14" s="3">
        <f t="shared" si="0"/>
        <v>1.9</v>
      </c>
      <c r="K14" s="3" t="s">
        <v>74</v>
      </c>
      <c r="L14" s="3">
        <v>2</v>
      </c>
      <c r="M14" s="3">
        <v>2</v>
      </c>
      <c r="N14" s="3">
        <v>2</v>
      </c>
      <c r="O14" s="3">
        <v>2</v>
      </c>
      <c r="P14" s="3">
        <v>2</v>
      </c>
      <c r="Q14" s="3">
        <f t="shared" si="2"/>
        <v>2</v>
      </c>
      <c r="R14" s="3" t="s">
        <v>75</v>
      </c>
      <c r="S14">
        <v>2</v>
      </c>
      <c r="T14">
        <v>2</v>
      </c>
      <c r="U14">
        <v>2</v>
      </c>
      <c r="V14">
        <v>2</v>
      </c>
      <c r="W14">
        <v>2</v>
      </c>
      <c r="X14" s="3">
        <f t="shared" si="1"/>
        <v>2</v>
      </c>
    </row>
    <row r="15" spans="1:24">
      <c r="A15" s="3" t="s">
        <v>76</v>
      </c>
      <c r="B15" s="3"/>
      <c r="C15" s="3"/>
      <c r="D15" s="3"/>
      <c r="E15" s="3"/>
      <c r="F15" s="3"/>
      <c r="G15" s="3"/>
      <c r="H15" s="3"/>
      <c r="I15" s="3"/>
      <c r="J15" s="3">
        <f t="shared" si="0"/>
        <v>0</v>
      </c>
      <c r="K15" s="3"/>
      <c r="L15" s="3"/>
      <c r="M15" s="3"/>
      <c r="N15" s="3"/>
      <c r="O15" s="3"/>
      <c r="P15" s="3"/>
      <c r="Q15" s="3">
        <f t="shared" si="2"/>
        <v>0</v>
      </c>
      <c r="R15" s="1"/>
      <c r="X15" s="3"/>
    </row>
    <row r="16" ht="308" spans="1:24">
      <c r="A16" s="3" t="s">
        <v>77</v>
      </c>
      <c r="B16" s="3" t="s">
        <v>14</v>
      </c>
      <c r="C16" s="3" t="s">
        <v>78</v>
      </c>
      <c r="D16" s="8" t="s">
        <v>23</v>
      </c>
      <c r="E16" s="8">
        <v>0</v>
      </c>
      <c r="F16" s="8">
        <v>0</v>
      </c>
      <c r="G16" s="8">
        <v>0</v>
      </c>
      <c r="H16" s="8">
        <v>2</v>
      </c>
      <c r="I16" s="8">
        <v>2</v>
      </c>
      <c r="J16" s="6">
        <f t="shared" si="0"/>
        <v>0.4</v>
      </c>
      <c r="K16" s="3" t="s">
        <v>79</v>
      </c>
      <c r="L16" s="3">
        <v>2</v>
      </c>
      <c r="M16" s="3">
        <v>1</v>
      </c>
      <c r="N16" s="3">
        <v>2</v>
      </c>
      <c r="O16" s="3">
        <v>2</v>
      </c>
      <c r="P16" s="3">
        <v>2</v>
      </c>
      <c r="Q16" s="3">
        <f t="shared" si="2"/>
        <v>1.8</v>
      </c>
      <c r="R16" s="3" t="s">
        <v>80</v>
      </c>
      <c r="S16">
        <v>2</v>
      </c>
      <c r="T16">
        <v>1</v>
      </c>
      <c r="U16">
        <v>2</v>
      </c>
      <c r="V16">
        <v>2</v>
      </c>
      <c r="W16">
        <v>2</v>
      </c>
      <c r="X16" s="3">
        <f t="shared" si="1"/>
        <v>1.8</v>
      </c>
    </row>
    <row r="17" ht="322" spans="1:24">
      <c r="A17" s="3" t="s">
        <v>81</v>
      </c>
      <c r="B17" s="3" t="s">
        <v>31</v>
      </c>
      <c r="C17" s="3" t="s">
        <v>82</v>
      </c>
      <c r="D17" s="8" t="s">
        <v>23</v>
      </c>
      <c r="E17" s="8">
        <v>0</v>
      </c>
      <c r="F17" s="8">
        <v>0</v>
      </c>
      <c r="G17" s="8">
        <v>0</v>
      </c>
      <c r="H17" s="8">
        <v>2</v>
      </c>
      <c r="I17" s="8">
        <v>2</v>
      </c>
      <c r="J17" s="6">
        <f t="shared" si="0"/>
        <v>0.4</v>
      </c>
      <c r="K17" s="3" t="s">
        <v>83</v>
      </c>
      <c r="L17" s="3">
        <v>1</v>
      </c>
      <c r="M17" s="3">
        <v>1</v>
      </c>
      <c r="N17" s="3">
        <v>2</v>
      </c>
      <c r="O17" s="3">
        <v>2</v>
      </c>
      <c r="P17" s="3">
        <v>2</v>
      </c>
      <c r="Q17" s="3">
        <f t="shared" si="2"/>
        <v>1.4</v>
      </c>
      <c r="R17" s="3" t="s">
        <v>84</v>
      </c>
      <c r="S17" s="5">
        <v>0</v>
      </c>
      <c r="T17" s="5">
        <v>0</v>
      </c>
      <c r="U17" s="5">
        <v>2</v>
      </c>
      <c r="V17" s="5">
        <v>2</v>
      </c>
      <c r="W17" s="5">
        <v>2</v>
      </c>
      <c r="X17" s="6">
        <f t="shared" si="1"/>
        <v>0.8</v>
      </c>
    </row>
    <row r="18" ht="378" spans="1:24">
      <c r="A18" s="3" t="s">
        <v>85</v>
      </c>
      <c r="B18" s="3" t="s">
        <v>67</v>
      </c>
      <c r="C18" s="3" t="s">
        <v>86</v>
      </c>
      <c r="D18" s="3" t="s">
        <v>87</v>
      </c>
      <c r="E18" s="3">
        <v>2</v>
      </c>
      <c r="F18" s="3">
        <v>2</v>
      </c>
      <c r="G18" s="3">
        <v>1</v>
      </c>
      <c r="H18" s="3">
        <v>1</v>
      </c>
      <c r="I18" s="3">
        <v>2</v>
      </c>
      <c r="J18" s="3">
        <f t="shared" si="0"/>
        <v>1.7</v>
      </c>
      <c r="K18" s="3" t="s">
        <v>88</v>
      </c>
      <c r="L18" s="3">
        <v>2</v>
      </c>
      <c r="M18" s="3">
        <v>2</v>
      </c>
      <c r="N18" s="3">
        <v>2</v>
      </c>
      <c r="O18" s="3">
        <v>2</v>
      </c>
      <c r="P18" s="3">
        <v>2</v>
      </c>
      <c r="Q18" s="3">
        <f t="shared" si="2"/>
        <v>2</v>
      </c>
      <c r="R18" s="3" t="s">
        <v>89</v>
      </c>
      <c r="S18">
        <v>2</v>
      </c>
      <c r="T18">
        <v>2</v>
      </c>
      <c r="U18">
        <v>2</v>
      </c>
      <c r="V18">
        <v>1</v>
      </c>
      <c r="W18">
        <v>2</v>
      </c>
      <c r="X18" s="3">
        <f t="shared" si="1"/>
        <v>1.9</v>
      </c>
    </row>
    <row r="19" ht="364" spans="1:24">
      <c r="A19" s="3" t="s">
        <v>90</v>
      </c>
      <c r="B19" s="3" t="s">
        <v>14</v>
      </c>
      <c r="C19" s="3" t="s">
        <v>91</v>
      </c>
      <c r="D19" s="8" t="s">
        <v>23</v>
      </c>
      <c r="E19" s="6">
        <v>0</v>
      </c>
      <c r="F19" s="6">
        <v>0</v>
      </c>
      <c r="G19" s="6">
        <v>0</v>
      </c>
      <c r="H19" s="6">
        <v>2</v>
      </c>
      <c r="I19" s="6">
        <v>2</v>
      </c>
      <c r="J19" s="6">
        <f t="shared" si="0"/>
        <v>0.4</v>
      </c>
      <c r="K19" s="3" t="s">
        <v>92</v>
      </c>
      <c r="L19" s="6">
        <v>0</v>
      </c>
      <c r="M19" s="6">
        <v>0</v>
      </c>
      <c r="N19" s="6">
        <v>2</v>
      </c>
      <c r="O19" s="6">
        <v>2</v>
      </c>
      <c r="P19" s="6">
        <v>2</v>
      </c>
      <c r="Q19" s="6">
        <f t="shared" si="2"/>
        <v>0.8</v>
      </c>
      <c r="R19" s="3" t="s">
        <v>93</v>
      </c>
      <c r="S19">
        <v>2</v>
      </c>
      <c r="T19">
        <v>1</v>
      </c>
      <c r="U19">
        <v>2</v>
      </c>
      <c r="V19">
        <v>2</v>
      </c>
      <c r="W19">
        <v>2</v>
      </c>
      <c r="X19" s="3">
        <f t="shared" si="1"/>
        <v>1.8</v>
      </c>
    </row>
    <row r="20" ht="280" spans="1:24">
      <c r="A20" s="3" t="s">
        <v>94</v>
      </c>
      <c r="B20" s="3" t="s">
        <v>14</v>
      </c>
      <c r="C20" s="3" t="s">
        <v>95</v>
      </c>
      <c r="D20" s="3" t="s">
        <v>96</v>
      </c>
      <c r="E20" s="3">
        <v>1</v>
      </c>
      <c r="F20" s="3">
        <v>1</v>
      </c>
      <c r="G20" s="3">
        <v>2</v>
      </c>
      <c r="H20" s="3">
        <v>2</v>
      </c>
      <c r="I20" s="3">
        <v>2</v>
      </c>
      <c r="J20" s="3">
        <f t="shared" si="0"/>
        <v>1.4</v>
      </c>
      <c r="K20" s="3" t="s">
        <v>97</v>
      </c>
      <c r="L20" s="3">
        <v>1</v>
      </c>
      <c r="M20" s="3">
        <v>1</v>
      </c>
      <c r="N20" s="3">
        <v>2</v>
      </c>
      <c r="O20" s="3">
        <v>2</v>
      </c>
      <c r="P20" s="3">
        <v>2</v>
      </c>
      <c r="Q20" s="3">
        <f t="shared" si="2"/>
        <v>1.4</v>
      </c>
      <c r="R20" s="3" t="s">
        <v>98</v>
      </c>
      <c r="S20">
        <v>1</v>
      </c>
      <c r="T20">
        <v>1</v>
      </c>
      <c r="U20">
        <v>2</v>
      </c>
      <c r="V20">
        <v>2</v>
      </c>
      <c r="W20">
        <v>2</v>
      </c>
      <c r="X20" s="3">
        <f t="shared" si="1"/>
        <v>1.4</v>
      </c>
    </row>
    <row r="21" ht="28" spans="1:24">
      <c r="A21" s="3" t="s">
        <v>99</v>
      </c>
      <c r="B21" s="3"/>
      <c r="C21" s="3"/>
      <c r="D21" s="3"/>
      <c r="E21" s="3"/>
      <c r="F21" s="3"/>
      <c r="G21" s="3"/>
      <c r="H21" s="3"/>
      <c r="I21" s="3"/>
      <c r="J21" s="3">
        <f t="shared" si="0"/>
        <v>0</v>
      </c>
      <c r="K21" s="3"/>
      <c r="L21" s="3"/>
      <c r="M21" s="3"/>
      <c r="N21" s="3"/>
      <c r="O21" s="3"/>
      <c r="P21" s="3"/>
      <c r="Q21" s="3">
        <f t="shared" si="2"/>
        <v>0</v>
      </c>
      <c r="R21" s="1"/>
      <c r="X21" s="3"/>
    </row>
    <row r="22" ht="336" spans="1:24">
      <c r="A22" s="3" t="s">
        <v>100</v>
      </c>
      <c r="B22" s="3" t="s">
        <v>31</v>
      </c>
      <c r="C22" s="3" t="s">
        <v>101</v>
      </c>
      <c r="D22" s="8" t="s">
        <v>23</v>
      </c>
      <c r="E22" s="6">
        <v>0</v>
      </c>
      <c r="F22" s="6">
        <v>0</v>
      </c>
      <c r="G22" s="6">
        <v>0</v>
      </c>
      <c r="H22" s="6">
        <v>2</v>
      </c>
      <c r="I22" s="6">
        <v>2</v>
      </c>
      <c r="J22" s="6">
        <f t="shared" si="0"/>
        <v>0.4</v>
      </c>
      <c r="K22" s="3" t="s">
        <v>102</v>
      </c>
      <c r="L22" s="6">
        <v>0</v>
      </c>
      <c r="M22" s="6">
        <v>0</v>
      </c>
      <c r="N22" s="6">
        <v>2</v>
      </c>
      <c r="O22" s="6">
        <v>2</v>
      </c>
      <c r="P22" s="6">
        <v>2</v>
      </c>
      <c r="Q22" s="6">
        <f t="shared" si="2"/>
        <v>0.8</v>
      </c>
      <c r="R22" s="3" t="s">
        <v>103</v>
      </c>
      <c r="S22">
        <v>2</v>
      </c>
      <c r="T22">
        <v>1</v>
      </c>
      <c r="U22">
        <v>2</v>
      </c>
      <c r="V22">
        <v>2</v>
      </c>
      <c r="W22">
        <v>2</v>
      </c>
      <c r="X22" s="3">
        <f t="shared" si="1"/>
        <v>1.8</v>
      </c>
    </row>
    <row r="23" ht="364" spans="1:24">
      <c r="A23" s="3" t="s">
        <v>104</v>
      </c>
      <c r="B23" s="3" t="s">
        <v>14</v>
      </c>
      <c r="C23" s="3" t="s">
        <v>105</v>
      </c>
      <c r="D23" s="3" t="s">
        <v>106</v>
      </c>
      <c r="E23" s="3">
        <v>2</v>
      </c>
      <c r="F23" s="3">
        <v>2</v>
      </c>
      <c r="G23" s="3">
        <v>2</v>
      </c>
      <c r="H23" s="3">
        <v>1</v>
      </c>
      <c r="I23" s="3">
        <v>2</v>
      </c>
      <c r="J23" s="3">
        <f t="shared" si="0"/>
        <v>1.9</v>
      </c>
      <c r="K23" s="3" t="s">
        <v>107</v>
      </c>
      <c r="L23" s="3">
        <v>2</v>
      </c>
      <c r="M23" s="3">
        <v>1</v>
      </c>
      <c r="N23" s="3">
        <v>2</v>
      </c>
      <c r="O23" s="3">
        <v>2</v>
      </c>
      <c r="P23" s="3">
        <v>2</v>
      </c>
      <c r="Q23" s="3">
        <f t="shared" si="2"/>
        <v>1.8</v>
      </c>
      <c r="R23" s="3" t="s">
        <v>108</v>
      </c>
      <c r="S23">
        <v>2</v>
      </c>
      <c r="T23">
        <v>1</v>
      </c>
      <c r="U23">
        <v>2</v>
      </c>
      <c r="V23">
        <v>1</v>
      </c>
      <c r="W23">
        <v>2</v>
      </c>
      <c r="X23" s="3">
        <f t="shared" si="1"/>
        <v>1.7</v>
      </c>
    </row>
    <row r="24" spans="1:24">
      <c r="A24" s="3" t="s">
        <v>109</v>
      </c>
      <c r="B24" s="3"/>
      <c r="C24" s="3"/>
      <c r="D24" s="3"/>
      <c r="E24" s="3"/>
      <c r="F24" s="3"/>
      <c r="G24" s="3"/>
      <c r="H24" s="3"/>
      <c r="I24" s="3"/>
      <c r="J24" s="3">
        <f t="shared" si="0"/>
        <v>0</v>
      </c>
      <c r="K24" s="3"/>
      <c r="L24" s="3"/>
      <c r="M24" s="3"/>
      <c r="N24" s="3"/>
      <c r="O24" s="3"/>
      <c r="P24" s="3"/>
      <c r="Q24" s="3">
        <f t="shared" si="2"/>
        <v>0</v>
      </c>
      <c r="R24" s="1"/>
      <c r="X24" s="3"/>
    </row>
    <row r="25" ht="308" spans="1:24">
      <c r="A25" s="3" t="s">
        <v>110</v>
      </c>
      <c r="B25" s="3" t="s">
        <v>25</v>
      </c>
      <c r="C25" s="3" t="s">
        <v>111</v>
      </c>
      <c r="D25" s="3" t="s">
        <v>112</v>
      </c>
      <c r="E25" s="3">
        <v>2</v>
      </c>
      <c r="F25" s="3">
        <v>2</v>
      </c>
      <c r="G25" s="3">
        <v>2</v>
      </c>
      <c r="H25" s="3">
        <v>1</v>
      </c>
      <c r="I25" s="3">
        <v>2</v>
      </c>
      <c r="J25" s="3">
        <f>0.4*E25+0.2*F25+0.2*G25+0.1*H25+0.1*I25</f>
        <v>1.9</v>
      </c>
      <c r="K25" s="3" t="s">
        <v>113</v>
      </c>
      <c r="L25" s="3">
        <v>2</v>
      </c>
      <c r="M25" s="3">
        <v>1</v>
      </c>
      <c r="N25" s="3">
        <v>2</v>
      </c>
      <c r="O25" s="3">
        <v>2</v>
      </c>
      <c r="P25" s="3">
        <v>0</v>
      </c>
      <c r="Q25" s="3">
        <f t="shared" si="2"/>
        <v>1.6</v>
      </c>
      <c r="R25" s="3" t="s">
        <v>114</v>
      </c>
      <c r="S25">
        <v>2</v>
      </c>
      <c r="T25">
        <v>1</v>
      </c>
      <c r="U25">
        <v>2</v>
      </c>
      <c r="V25">
        <v>2</v>
      </c>
      <c r="W25">
        <v>2</v>
      </c>
      <c r="X25" s="3">
        <f>0.4*S25+0.2*T25+0.2*U25+0.1*V25+0.1*W25</f>
        <v>1.8</v>
      </c>
    </row>
    <row r="26" spans="1:24">
      <c r="A26" s="3"/>
      <c r="B26" s="3"/>
      <c r="C26" s="3"/>
      <c r="D26" s="3"/>
      <c r="E26" s="3"/>
      <c r="F26" s="3"/>
      <c r="G26" s="3"/>
      <c r="H26" s="3"/>
      <c r="I26" s="3"/>
      <c r="J26" s="9">
        <f>SUM(J3:J25)/20</f>
        <v>1.345</v>
      </c>
      <c r="K26" s="3"/>
      <c r="L26" s="3"/>
      <c r="M26" s="3"/>
      <c r="N26" s="3"/>
      <c r="O26" s="3"/>
      <c r="P26" s="3"/>
      <c r="Q26">
        <f>SUM(Q3:Q25)/20</f>
        <v>1.64</v>
      </c>
      <c r="R26" s="1"/>
      <c r="X26">
        <f>SUM(X3:X25)/20</f>
        <v>1.67</v>
      </c>
    </row>
    <row r="27" spans="1:24">
      <c r="A27" s="3"/>
      <c r="B27" s="3"/>
      <c r="C27" s="3"/>
      <c r="D27" s="3"/>
      <c r="E27" s="3"/>
      <c r="F27" s="3"/>
      <c r="G27" s="3"/>
      <c r="H27" s="3"/>
      <c r="I27" s="3"/>
      <c r="J27" s="3"/>
      <c r="K27" s="3"/>
      <c r="L27" s="3"/>
      <c r="M27" s="3"/>
      <c r="N27" s="3"/>
      <c r="O27" s="3"/>
      <c r="P27" s="3"/>
      <c r="Q27" s="3"/>
      <c r="R27" s="1"/>
    </row>
    <row r="28" spans="1:24">
      <c r="A28" s="3"/>
      <c r="B28" s="3"/>
      <c r="C28" s="3"/>
      <c r="D28" s="3"/>
      <c r="E28" s="3"/>
      <c r="F28" s="3"/>
      <c r="G28" s="3"/>
      <c r="H28" s="3"/>
      <c r="I28" s="3"/>
      <c r="J28" s="3"/>
      <c r="K28" s="3"/>
      <c r="L28" s="3"/>
      <c r="M28" s="3"/>
      <c r="N28" s="3"/>
      <c r="O28" s="3"/>
      <c r="P28" s="3"/>
      <c r="Q28" s="3"/>
      <c r="R28" s="1"/>
    </row>
    <row r="29" spans="1:24">
      <c r="A29" s="10" t="s">
        <v>115</v>
      </c>
      <c r="B29" s="10"/>
      <c r="C29" s="10"/>
      <c r="D29" s="10"/>
      <c r="E29" s="10"/>
      <c r="F29" s="10"/>
      <c r="G29" s="10"/>
      <c r="H29" s="10"/>
      <c r="I29" s="10"/>
      <c r="J29" s="10"/>
      <c r="K29" s="3"/>
      <c r="L29" s="3"/>
      <c r="M29" s="3"/>
      <c r="N29" s="3"/>
      <c r="O29" s="3"/>
      <c r="P29" s="3"/>
      <c r="Q29" s="3"/>
      <c r="R29" s="1"/>
    </row>
    <row r="30" spans="1:24">
      <c r="A30" s="11" t="s">
        <v>116</v>
      </c>
      <c r="B30" s="11"/>
      <c r="C30" s="11"/>
      <c r="D30" s="11"/>
      <c r="E30" s="11"/>
      <c r="F30" s="11"/>
      <c r="G30" s="11"/>
      <c r="H30" s="11"/>
      <c r="I30" s="11"/>
      <c r="J30" s="11"/>
      <c r="K30" s="3"/>
      <c r="L30" s="3"/>
      <c r="M30" s="3"/>
      <c r="N30" s="3"/>
      <c r="O30" s="3"/>
      <c r="P30" s="3"/>
      <c r="Q30" s="3"/>
    </row>
    <row r="31" spans="1:24">
      <c r="A31" s="3"/>
      <c r="B31" s="3"/>
      <c r="C31" s="3"/>
      <c r="D31" s="3"/>
      <c r="E31" s="3"/>
      <c r="F31" s="3"/>
      <c r="G31" s="3"/>
      <c r="H31" s="3"/>
      <c r="I31" s="3"/>
      <c r="J31" s="3"/>
      <c r="K31" s="3"/>
      <c r="L31" s="3"/>
      <c r="M31" s="3"/>
      <c r="N31" s="3"/>
      <c r="O31" s="3"/>
      <c r="P31" s="3"/>
      <c r="Q31" s="3"/>
    </row>
    <row r="32" spans="1:24">
      <c r="A32" s="3"/>
      <c r="B32" s="3"/>
      <c r="C32" s="3"/>
      <c r="D32" s="3"/>
      <c r="E32" s="3"/>
      <c r="F32" s="3"/>
      <c r="G32" s="3"/>
      <c r="H32" s="3"/>
      <c r="I32" s="3"/>
      <c r="J32" s="3"/>
      <c r="K32" s="3"/>
      <c r="L32" s="3"/>
      <c r="M32" s="3"/>
      <c r="N32" s="3"/>
      <c r="O32" s="3"/>
      <c r="P32" s="3"/>
      <c r="Q32" s="3"/>
    </row>
    <row r="33" spans="1:17">
      <c r="A33" s="3"/>
      <c r="B33" s="3"/>
      <c r="C33" s="3"/>
      <c r="D33" s="3"/>
      <c r="E33" s="3"/>
      <c r="F33" s="3"/>
      <c r="G33" s="3"/>
      <c r="H33" s="3"/>
      <c r="I33" s="3"/>
      <c r="J33" s="3"/>
      <c r="K33" s="3"/>
      <c r="L33" s="3"/>
      <c r="M33" s="3"/>
      <c r="N33" s="3"/>
      <c r="O33" s="3"/>
      <c r="P33" s="3"/>
      <c r="Q33" s="3"/>
    </row>
    <row r="34" spans="1:17">
      <c r="A34" s="3"/>
      <c r="B34" s="3"/>
      <c r="C34" s="3"/>
      <c r="D34" s="3"/>
      <c r="E34" s="3"/>
      <c r="F34" s="3"/>
      <c r="G34" s="3"/>
      <c r="H34" s="3"/>
      <c r="I34" s="3"/>
      <c r="J34" s="3"/>
      <c r="K34" s="3"/>
      <c r="L34" s="3"/>
      <c r="M34" s="3"/>
      <c r="N34" s="3"/>
      <c r="O34" s="3"/>
      <c r="P34" s="3"/>
      <c r="Q34" s="3"/>
    </row>
    <row r="35" spans="1:17">
      <c r="A35" s="3"/>
      <c r="B35" s="3"/>
      <c r="C35" s="3"/>
      <c r="D35" s="3"/>
      <c r="E35" s="3"/>
      <c r="F35" s="3"/>
      <c r="G35" s="3"/>
      <c r="H35" s="3"/>
      <c r="I35" s="3"/>
      <c r="J35" s="3"/>
      <c r="K35" s="3"/>
      <c r="L35" s="3"/>
      <c r="M35" s="3"/>
      <c r="N35" s="3"/>
      <c r="O35" s="3"/>
      <c r="P35" s="3"/>
      <c r="Q35" s="3"/>
    </row>
    <row r="36" spans="1:17">
      <c r="A36" s="3"/>
      <c r="B36" s="3"/>
      <c r="C36" s="3"/>
      <c r="D36" s="3"/>
      <c r="E36" s="3"/>
      <c r="F36" s="3"/>
      <c r="G36" s="3"/>
      <c r="H36" s="3"/>
      <c r="I36" s="3"/>
      <c r="J36" s="3"/>
      <c r="K36" s="3"/>
      <c r="L36" s="3"/>
      <c r="M36" s="3"/>
      <c r="N36" s="3"/>
      <c r="O36" s="3"/>
      <c r="P36" s="3"/>
      <c r="Q36" s="3"/>
    </row>
    <row r="37" spans="1:17">
      <c r="A37" s="3"/>
      <c r="B37" s="3"/>
      <c r="C37" s="3"/>
      <c r="D37" s="3"/>
      <c r="E37" s="3"/>
      <c r="F37" s="3"/>
      <c r="G37" s="3"/>
      <c r="H37" s="3"/>
      <c r="I37" s="3"/>
      <c r="J37" s="3"/>
      <c r="K37" s="3"/>
      <c r="L37" s="3"/>
      <c r="M37" s="3"/>
      <c r="N37" s="3"/>
      <c r="O37" s="3"/>
      <c r="P37" s="3"/>
      <c r="Q37" s="3"/>
    </row>
    <row r="38" spans="1:17">
      <c r="A38" s="3"/>
      <c r="B38" s="3"/>
      <c r="C38" s="3"/>
      <c r="D38" s="3"/>
      <c r="E38" s="3"/>
      <c r="F38" s="3"/>
      <c r="G38" s="3"/>
      <c r="H38" s="3"/>
      <c r="I38" s="3"/>
      <c r="J38" s="3"/>
      <c r="K38" s="3"/>
      <c r="L38" s="3"/>
      <c r="M38" s="3"/>
      <c r="N38" s="3"/>
      <c r="O38" s="3"/>
      <c r="P38" s="3"/>
      <c r="Q38" s="3"/>
    </row>
    <row r="39" spans="1:17">
      <c r="A39" s="3"/>
      <c r="B39" s="3"/>
      <c r="C39" s="3"/>
      <c r="D39" s="3"/>
      <c r="E39" s="3"/>
      <c r="F39" s="3"/>
      <c r="G39" s="3"/>
      <c r="H39" s="3"/>
      <c r="I39" s="3"/>
      <c r="J39" s="3"/>
      <c r="K39" s="3"/>
      <c r="L39" s="3"/>
      <c r="M39" s="3"/>
      <c r="N39" s="3"/>
      <c r="O39" s="3"/>
      <c r="P39" s="3"/>
      <c r="Q39" s="3"/>
    </row>
    <row r="40" spans="1:17">
      <c r="A40" s="3"/>
      <c r="B40" s="3"/>
      <c r="C40" s="3"/>
      <c r="D40" s="3"/>
      <c r="E40" s="3"/>
      <c r="F40" s="3"/>
      <c r="G40" s="3"/>
      <c r="H40" s="3"/>
      <c r="I40" s="3"/>
      <c r="J40" s="3"/>
      <c r="K40" s="3"/>
      <c r="L40" s="3"/>
      <c r="M40" s="3"/>
      <c r="N40" s="3"/>
      <c r="O40" s="3"/>
      <c r="P40" s="3"/>
      <c r="Q40" s="3"/>
    </row>
    <row r="41" spans="1:17">
      <c r="A41" s="3"/>
      <c r="B41" s="3"/>
      <c r="C41" s="3"/>
      <c r="D41" s="3"/>
      <c r="E41" s="3"/>
      <c r="F41" s="3"/>
      <c r="G41" s="3"/>
      <c r="H41" s="3"/>
      <c r="I41" s="3"/>
      <c r="J41" s="3"/>
      <c r="K41" s="3"/>
      <c r="L41" s="3"/>
      <c r="M41" s="3"/>
      <c r="N41" s="3"/>
      <c r="O41" s="3"/>
      <c r="P41" s="3"/>
      <c r="Q41" s="3"/>
    </row>
  </sheetData>
  <mergeCells count="2">
    <mergeCell ref="A29:D29"/>
    <mergeCell ref="A30:D30"/>
  </mergeCells>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Z'hang</dc:creator>
  <cp:lastModifiedBy>WPS_1615513796</cp:lastModifiedBy>
  <dcterms:created xsi:type="dcterms:W3CDTF">2026-03-06T16:01:00Z</dcterms:created>
  <dcterms:modified xsi:type="dcterms:W3CDTF">2026-03-07T07:40:42Z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5A60265E8854428DA46F3B6E026332D1_11</vt:lpwstr>
  </property>
  <property fmtid="{D5CDD505-2E9C-101B-9397-08002B2CF9AE}" pid="3" name="KSOProductBuildVer">
    <vt:lpwstr>2052-12.1.0.25225</vt:lpwstr>
  </property>
  <property fmtid="{D5CDD505-2E9C-101B-9397-08002B2CF9AE}" pid="4" name="CalculationRule">
    <vt:i4>1</vt:i4>
  </property>
</Properties>
</file>